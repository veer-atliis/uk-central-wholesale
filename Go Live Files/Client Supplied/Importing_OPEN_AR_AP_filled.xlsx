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640" yWindow="1570" windowWidth="21780" windowHeight="18220" tabRatio="600" firstSheet="0" activeTab="0" autoFilterDateGrouping="1"/>
  </bookViews>
  <sheets>
    <sheet xmlns:r="http://schemas.openxmlformats.org/officeDocument/2006/relationships" name="Open Invoices" sheetId="1" state="visible" r:id="rId1"/>
    <sheet xmlns:r="http://schemas.openxmlformats.org/officeDocument/2006/relationships" name="Open Customer Credit Notes" sheetId="2" state="visible" r:id="rId2"/>
    <sheet xmlns:r="http://schemas.openxmlformats.org/officeDocument/2006/relationships" name="Open Bills" sheetId="3" state="visible" r:id="rId3"/>
    <sheet xmlns:r="http://schemas.openxmlformats.org/officeDocument/2006/relationships" name="Open Vendor Refunds" sheetId="4" state="visible" r:id="rId4"/>
  </sheets>
  <definedNames>
    <definedName name="_xlnm._FilterDatabase" localSheetId="0" hidden="1">'Open Invoices'!$A$1:$I$144</definedName>
    <definedName name="_xlnm._FilterDatabase" localSheetId="1" hidden="1">'Open Customer Credit Notes'!$A$1:$I$144</definedName>
    <definedName name="_xlnm._FilterDatabase" localSheetId="2" hidden="1">'Open Bills'!$A$1:$K$122</definedName>
    <definedName name="_xlnm._FilterDatabase" localSheetId="3" hidden="1">'Open Vendor Refunds'!$A$1:$K$122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[$-C09]dd\-mmm\-yy;@"/>
    <numFmt numFmtId="165" formatCode="yyyy-mm-dd h:mm:ss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Proxima Nova"/>
      <i val="1"/>
      <color rgb="FF353744"/>
      <sz val="11"/>
    </font>
    <font>
      <name val="Calibri"/>
      <family val="2"/>
      <i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7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2" fontId="1" fillId="0" borderId="0" pivotButton="0" quotePrefix="0" xfId="0"/>
    <xf numFmtId="2" fontId="0" fillId="0" borderId="0" pivotButton="0" quotePrefix="0" xfId="0"/>
    <xf numFmtId="164" fontId="1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horizontal="left" vertical="center"/>
    </xf>
    <xf numFmtId="164" fontId="0" fillId="0" borderId="0" pivotButton="0" quotePrefix="0" xfId="0"/>
    <xf numFmtId="164" fontId="1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0" fontId="2" fillId="2" borderId="0" pivotButton="0" quotePrefix="0" xfId="0"/>
    <xf numFmtId="49" fontId="1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9"/>
  <sheetViews>
    <sheetView tabSelected="1" zoomScale="115" zoomScaleNormal="115" workbookViewId="0">
      <selection activeCell="C23" sqref="C23"/>
    </sheetView>
  </sheetViews>
  <sheetFormatPr baseColWidth="8" defaultRowHeight="14.5"/>
  <cols>
    <col width="21.26953125" customWidth="1" min="1" max="1"/>
    <col width="36.1796875" bestFit="1" customWidth="1" min="2" max="2"/>
    <col width="27.6328125" customWidth="1" min="3" max="3"/>
    <col width="23.7265625" customWidth="1" min="4" max="4"/>
    <col width="41" bestFit="1" customWidth="1" min="5" max="5"/>
    <col width="23.7265625" customWidth="1" min="6" max="6"/>
    <col width="33.26953125" customWidth="1" min="7" max="7"/>
    <col width="23.7265625" customWidth="1" min="8" max="9"/>
    <col width="18.08984375" customWidth="1" min="11" max="11"/>
  </cols>
  <sheetData>
    <row r="1">
      <c r="A1" s="15" t="inlineStr">
        <is>
          <t>Old System NUMBER</t>
        </is>
      </c>
      <c r="B1" s="5" t="inlineStr">
        <is>
          <t>Odoo Number</t>
        </is>
      </c>
      <c r="C1" s="15" t="inlineStr">
        <is>
          <t>Partner</t>
        </is>
      </c>
      <c r="D1" s="15" t="inlineStr">
        <is>
          <t>Invoice/Bill Date</t>
        </is>
      </c>
      <c r="E1" s="15" t="inlineStr">
        <is>
          <t>Due Date (only if 'Partner' has no PMT TERMS)</t>
        </is>
      </c>
      <c r="F1" s="1" t="inlineStr">
        <is>
          <t>Reference</t>
        </is>
      </c>
      <c r="G1" s="15" t="inlineStr">
        <is>
          <t>Invoice Lines / Unit Price</t>
        </is>
      </c>
      <c r="H1" s="1" t="inlineStr">
        <is>
          <t>Invoice Lines / Account</t>
        </is>
      </c>
      <c r="I1" s="1" t="inlineStr">
        <is>
          <t>Invoice Lines / Label</t>
        </is>
      </c>
      <c r="J1" s="1" t="inlineStr">
        <is>
          <t>Currency</t>
        </is>
      </c>
      <c r="K1" s="1" t="inlineStr">
        <is>
          <t>Journal</t>
        </is>
      </c>
    </row>
    <row r="2">
      <c r="A2" s="16" t="inlineStr">
        <is>
          <t>00016909</t>
        </is>
      </c>
      <c r="B2" s="6" t="inlineStr">
        <is>
          <t>MYOB-00016909</t>
        </is>
      </c>
      <c r="C2" s="2" t="inlineStr">
        <is>
          <t>ALLSORTS OF SWEETS CAIRNS (New owners)</t>
        </is>
      </c>
      <c r="D2" s="10" t="n">
        <v>46125</v>
      </c>
      <c r="E2" s="12" t="n"/>
      <c r="F2" s="2">
        <f>"Open AR: "&amp;A2</f>
        <v/>
      </c>
      <c r="G2" s="8" t="n">
        <v>692.4400000000001</v>
      </c>
      <c r="H2" s="3" t="n"/>
      <c r="I2" s="4">
        <f>F2</f>
        <v/>
      </c>
      <c r="J2" t="inlineStr">
        <is>
          <t>AUD</t>
        </is>
      </c>
      <c r="K2" t="inlineStr">
        <is>
          <t>Customer Invoices</t>
        </is>
      </c>
    </row>
    <row r="3">
      <c r="A3" s="16" t="inlineStr">
        <is>
          <t>00017384</t>
        </is>
      </c>
      <c r="B3" s="6" t="inlineStr">
        <is>
          <t>MYOB-00017384</t>
        </is>
      </c>
      <c r="C3" s="2" t="inlineStr">
        <is>
          <t>ALLSORTS OF SWEETS CAIRNS (New owners)</t>
        </is>
      </c>
      <c r="D3" s="10" t="n">
        <v>46240</v>
      </c>
      <c r="E3" s="12" t="n"/>
      <c r="F3" s="2">
        <f>"Open AR: "&amp;A3</f>
        <v/>
      </c>
      <c r="G3" s="8" t="n">
        <v>661.41</v>
      </c>
      <c r="H3" s="3" t="n"/>
      <c r="I3" s="4">
        <f>F3</f>
        <v/>
      </c>
      <c r="J3" t="inlineStr">
        <is>
          <t>AUD</t>
        </is>
      </c>
      <c r="K3" t="inlineStr">
        <is>
          <t>Customer Invoices</t>
        </is>
      </c>
    </row>
    <row r="4">
      <c r="A4" s="16" t="inlineStr">
        <is>
          <t>00017482</t>
        </is>
      </c>
      <c r="B4" s="6" t="inlineStr">
        <is>
          <t>MYOB-00017482</t>
        </is>
      </c>
      <c r="C4" s="2" t="inlineStr">
        <is>
          <t>AVC OPERATIONS Pty Ltd</t>
        </is>
      </c>
      <c r="D4" s="10" t="n">
        <v>46274</v>
      </c>
      <c r="E4" s="12" t="n"/>
      <c r="F4" s="2">
        <f>"Open AR: "&amp;A4</f>
        <v/>
      </c>
      <c r="G4" s="8" t="n">
        <v>727.2</v>
      </c>
      <c r="H4" s="3" t="n"/>
      <c r="I4" s="4">
        <f>F4</f>
        <v/>
      </c>
      <c r="J4" t="inlineStr">
        <is>
          <t>AUD</t>
        </is>
      </c>
      <c r="K4" t="inlineStr">
        <is>
          <t>Customer Invoices</t>
        </is>
      </c>
    </row>
    <row r="5">
      <c r="A5" s="16" t="inlineStr">
        <is>
          <t>00017494</t>
        </is>
      </c>
      <c r="B5" s="6" t="inlineStr">
        <is>
          <t>MYOB-00017494</t>
        </is>
      </c>
      <c r="C5" s="2" t="inlineStr">
        <is>
          <t>BASIL'S FRESH FOODS PTY LTD</t>
        </is>
      </c>
      <c r="D5" s="10" t="n">
        <v>46275</v>
      </c>
      <c r="E5" s="12" t="n"/>
      <c r="F5" s="2">
        <f>"Open AR: "&amp;A5</f>
        <v/>
      </c>
      <c r="G5" s="8" t="n">
        <v>7404.82</v>
      </c>
      <c r="H5" s="3" t="n"/>
      <c r="I5" s="4">
        <f>F5</f>
        <v/>
      </c>
      <c r="J5" t="inlineStr">
        <is>
          <t>AUD</t>
        </is>
      </c>
      <c r="K5" t="inlineStr">
        <is>
          <t>Customer Invoices</t>
        </is>
      </c>
    </row>
    <row r="6">
      <c r="A6" s="16" t="inlineStr">
        <is>
          <t>00017523</t>
        </is>
      </c>
      <c r="B6" s="6" t="inlineStr">
        <is>
          <t>MYOB-00017523</t>
        </is>
      </c>
      <c r="C6" s="2" t="inlineStr">
        <is>
          <t>BASIL'S FRESH FOODS PTY LTD</t>
        </is>
      </c>
      <c r="D6" s="10" t="n">
        <v>46281</v>
      </c>
      <c r="E6" s="12" t="n"/>
      <c r="F6" s="2">
        <f>"Open AR: "&amp;A6</f>
        <v/>
      </c>
      <c r="G6" s="8" t="n">
        <v>3041.69</v>
      </c>
      <c r="H6" s="3" t="n"/>
      <c r="I6" s="4">
        <f>F6</f>
        <v/>
      </c>
      <c r="J6" t="inlineStr">
        <is>
          <t>AUD</t>
        </is>
      </c>
      <c r="K6" t="inlineStr">
        <is>
          <t>Customer Invoices</t>
        </is>
      </c>
    </row>
    <row r="7">
      <c r="A7" s="16" t="inlineStr">
        <is>
          <t>00017564</t>
        </is>
      </c>
      <c r="B7" s="6" t="inlineStr">
        <is>
          <t>MYOB-00017564</t>
        </is>
      </c>
      <c r="C7" s="2" t="inlineStr">
        <is>
          <t>BASIL'S FRESH FOODS PTY LTD</t>
        </is>
      </c>
      <c r="D7" s="10" t="n">
        <v>46288</v>
      </c>
      <c r="E7" s="12" t="n"/>
      <c r="F7" s="2">
        <f>"Open AR: "&amp;A7</f>
        <v/>
      </c>
      <c r="G7" s="8" t="n">
        <v>1355.35</v>
      </c>
      <c r="H7" s="3" t="n"/>
      <c r="I7" s="4">
        <f>F7</f>
        <v/>
      </c>
      <c r="J7" t="inlineStr">
        <is>
          <t>AUD</t>
        </is>
      </c>
      <c r="K7" t="inlineStr">
        <is>
          <t>Customer Invoices</t>
        </is>
      </c>
    </row>
    <row r="8">
      <c r="A8" s="16" t="inlineStr">
        <is>
          <t>00017468</t>
        </is>
      </c>
      <c r="B8" s="6" t="inlineStr">
        <is>
          <t>MYOB-00017468</t>
        </is>
      </c>
      <c r="C8" s="2" t="inlineStr">
        <is>
          <t>BEST OF BRITISH</t>
        </is>
      </c>
      <c r="D8" s="10" t="n">
        <v>46265</v>
      </c>
      <c r="E8" s="12" t="n"/>
      <c r="F8" s="2">
        <f>"Open AR: "&amp;A8</f>
        <v/>
      </c>
      <c r="G8" s="8" t="n">
        <v>1959.97</v>
      </c>
      <c r="H8" s="3" t="n"/>
      <c r="I8" s="4">
        <f>F8</f>
        <v/>
      </c>
      <c r="J8" t="inlineStr">
        <is>
          <t>AUD</t>
        </is>
      </c>
      <c r="K8" t="inlineStr">
        <is>
          <t>Customer Invoices</t>
        </is>
      </c>
    </row>
    <row r="9">
      <c r="A9" s="16" t="inlineStr">
        <is>
          <t>00017491</t>
        </is>
      </c>
      <c r="B9" s="6" t="inlineStr">
        <is>
          <t>MYOB-00017491</t>
        </is>
      </c>
      <c r="C9" s="2" t="inlineStr">
        <is>
          <t>BEST OF BRITISH</t>
        </is>
      </c>
      <c r="D9" s="10" t="n">
        <v>46275</v>
      </c>
      <c r="E9" s="12" t="n"/>
      <c r="F9" s="2">
        <f>"Open AR: "&amp;A9</f>
        <v/>
      </c>
      <c r="G9" s="8" t="n">
        <v>713.61</v>
      </c>
      <c r="H9" s="3" t="n"/>
      <c r="I9" s="4">
        <f>F9</f>
        <v/>
      </c>
      <c r="J9" t="inlineStr">
        <is>
          <t>AUD</t>
        </is>
      </c>
      <c r="K9" t="inlineStr">
        <is>
          <t>Customer Invoices</t>
        </is>
      </c>
    </row>
    <row r="10">
      <c r="A10" s="16" t="inlineStr">
        <is>
          <t>00017530</t>
        </is>
      </c>
      <c r="B10" s="6" t="inlineStr">
        <is>
          <t>MYOB-00017530</t>
        </is>
      </c>
      <c r="C10" s="2" t="inlineStr">
        <is>
          <t>BEST OF BRITISH</t>
        </is>
      </c>
      <c r="D10" s="10" t="n">
        <v>46281</v>
      </c>
      <c r="E10" s="12" t="n"/>
      <c r="F10" s="2">
        <f>"Open AR: "&amp;A10</f>
        <v/>
      </c>
      <c r="G10" s="8" t="n">
        <v>2343.44</v>
      </c>
      <c r="H10" s="3" t="n"/>
      <c r="I10" s="4">
        <f>F10</f>
        <v/>
      </c>
      <c r="J10" t="inlineStr">
        <is>
          <t>AUD</t>
        </is>
      </c>
      <c r="K10" t="inlineStr">
        <is>
          <t>Customer Invoices</t>
        </is>
      </c>
    </row>
    <row r="11">
      <c r="A11" s="16" t="inlineStr">
        <is>
          <t>00017520</t>
        </is>
      </c>
      <c r="B11" s="6" t="inlineStr">
        <is>
          <t>MYOB-00017520</t>
        </is>
      </c>
      <c r="C11" s="2" t="inlineStr">
        <is>
          <t>BOWRAL SWEETS AND TREATS</t>
        </is>
      </c>
      <c r="D11" s="10" t="n">
        <v>46280</v>
      </c>
      <c r="E11" s="12" t="n"/>
      <c r="F11" s="2">
        <f>"Open AR: "&amp;A11</f>
        <v/>
      </c>
      <c r="G11" s="8" t="n">
        <v>4735.54</v>
      </c>
      <c r="H11" s="3" t="n"/>
      <c r="I11" s="4">
        <f>F11</f>
        <v/>
      </c>
      <c r="J11" t="inlineStr">
        <is>
          <t>AUD</t>
        </is>
      </c>
      <c r="K11" t="inlineStr">
        <is>
          <t>Customer Invoices</t>
        </is>
      </c>
    </row>
    <row r="12">
      <c r="A12" s="16" t="inlineStr">
        <is>
          <t>00017548</t>
        </is>
      </c>
      <c r="B12" s="6" t="inlineStr">
        <is>
          <t>MYOB-00017548</t>
        </is>
      </c>
      <c r="C12" s="2" t="inlineStr">
        <is>
          <t>BOWRAL SWEETS AND TREATS</t>
        </is>
      </c>
      <c r="D12" s="10" t="n">
        <v>46286</v>
      </c>
      <c r="E12" s="12" t="n"/>
      <c r="F12" s="2">
        <f>"Open AR: "&amp;A12</f>
        <v/>
      </c>
      <c r="G12" s="8" t="n">
        <v>502.56</v>
      </c>
      <c r="H12" s="3" t="n"/>
      <c r="I12" s="4">
        <f>F12</f>
        <v/>
      </c>
      <c r="J12" t="inlineStr">
        <is>
          <t>AUD</t>
        </is>
      </c>
      <c r="K12" t="inlineStr">
        <is>
          <t>Customer Invoices</t>
        </is>
      </c>
    </row>
    <row r="13">
      <c r="A13" s="16" t="inlineStr">
        <is>
          <t>00017379</t>
        </is>
      </c>
      <c r="B13" s="6" t="inlineStr">
        <is>
          <t>MYOB-00017379</t>
        </is>
      </c>
      <c r="C13" s="2" t="inlineStr">
        <is>
          <t>CANDY ALLEY</t>
        </is>
      </c>
      <c r="D13" s="10" t="n">
        <v>46240</v>
      </c>
      <c r="E13" s="12" t="n"/>
      <c r="F13" s="2">
        <f>"Open AR: "&amp;A13</f>
        <v/>
      </c>
      <c r="G13" s="8" t="n">
        <v>43.59</v>
      </c>
      <c r="H13" s="3" t="n"/>
      <c r="I13" s="4">
        <f>F13</f>
        <v/>
      </c>
      <c r="J13" t="inlineStr">
        <is>
          <t>AUD</t>
        </is>
      </c>
      <c r="K13" t="inlineStr">
        <is>
          <t>Customer Invoices</t>
        </is>
      </c>
    </row>
    <row r="14">
      <c r="A14" s="16" t="inlineStr">
        <is>
          <t>00017483</t>
        </is>
      </c>
      <c r="B14" s="6" t="inlineStr">
        <is>
          <t>MYOB-00017483</t>
        </is>
      </c>
      <c r="C14" s="2" t="inlineStr">
        <is>
          <t>CANDY ALLEY</t>
        </is>
      </c>
      <c r="D14" s="10" t="n">
        <v>46274</v>
      </c>
      <c r="E14" s="12" t="n"/>
      <c r="F14" s="2">
        <f>"Open AR: "&amp;A14</f>
        <v/>
      </c>
      <c r="G14" s="8" t="n">
        <v>336.3</v>
      </c>
      <c r="H14" s="3" t="n"/>
      <c r="I14" s="4">
        <f>F14</f>
        <v/>
      </c>
      <c r="J14" t="inlineStr">
        <is>
          <t>AUD</t>
        </is>
      </c>
      <c r="K14" t="inlineStr">
        <is>
          <t>Customer Invoices</t>
        </is>
      </c>
    </row>
    <row r="15">
      <c r="A15" s="16" t="inlineStr">
        <is>
          <t>00017492</t>
        </is>
      </c>
      <c r="B15" s="6" t="inlineStr">
        <is>
          <t>MYOB-00017492</t>
        </is>
      </c>
      <c r="C15" s="2" t="inlineStr">
        <is>
          <t>CANDY ALLEY</t>
        </is>
      </c>
      <c r="D15" s="10" t="n">
        <v>46275</v>
      </c>
      <c r="E15" s="12" t="n"/>
      <c r="F15" s="2">
        <f>"Open AR: "&amp;A15</f>
        <v/>
      </c>
      <c r="G15" s="8" t="n">
        <v>2215.39</v>
      </c>
      <c r="H15" s="3" t="n"/>
      <c r="I15" s="4">
        <f>F15</f>
        <v/>
      </c>
      <c r="J15" t="inlineStr">
        <is>
          <t>AUD</t>
        </is>
      </c>
      <c r="K15" t="inlineStr">
        <is>
          <t>Customer Invoices</t>
        </is>
      </c>
    </row>
    <row r="16">
      <c r="A16" s="16" t="inlineStr">
        <is>
          <t>00017496</t>
        </is>
      </c>
      <c r="B16" s="6" t="inlineStr">
        <is>
          <t>MYOB-00017496</t>
        </is>
      </c>
      <c r="C16" s="2" t="inlineStr">
        <is>
          <t>CANDY ALLEY</t>
        </is>
      </c>
      <c r="D16" s="10" t="n">
        <v>46275</v>
      </c>
      <c r="E16" s="12" t="n"/>
      <c r="F16" s="2">
        <f>"Open AR: "&amp;A16</f>
        <v/>
      </c>
      <c r="G16" s="8" t="n">
        <v>559.35</v>
      </c>
      <c r="H16" s="3" t="n"/>
      <c r="I16" s="4">
        <f>F16</f>
        <v/>
      </c>
      <c r="J16" t="inlineStr">
        <is>
          <t>AUD</t>
        </is>
      </c>
      <c r="K16" t="inlineStr">
        <is>
          <t>Customer Invoices</t>
        </is>
      </c>
    </row>
    <row r="17">
      <c r="A17" s="16" t="inlineStr">
        <is>
          <t>00017513</t>
        </is>
      </c>
      <c r="B17" s="6" t="inlineStr">
        <is>
          <t>MYOB-00017513</t>
        </is>
      </c>
      <c r="C17" s="2" t="inlineStr">
        <is>
          <t>CANDY ALLEY</t>
        </is>
      </c>
      <c r="D17" s="10" t="n">
        <v>46280</v>
      </c>
      <c r="E17" s="12" t="n"/>
      <c r="F17" s="2">
        <f>"Open AR: "&amp;A17</f>
        <v/>
      </c>
      <c r="G17" s="8" t="n">
        <v>316.02</v>
      </c>
      <c r="H17" s="3" t="n"/>
      <c r="I17" s="4">
        <f>F17</f>
        <v/>
      </c>
      <c r="J17" t="inlineStr">
        <is>
          <t>AUD</t>
        </is>
      </c>
      <c r="K17" t="inlineStr">
        <is>
          <t>Customer Invoices</t>
        </is>
      </c>
    </row>
    <row r="18">
      <c r="A18" s="16" t="inlineStr">
        <is>
          <t>00017514</t>
        </is>
      </c>
      <c r="B18" s="6" t="inlineStr">
        <is>
          <t>MYOB-00017514</t>
        </is>
      </c>
      <c r="C18" s="2" t="inlineStr">
        <is>
          <t>CANDY ALLEY</t>
        </is>
      </c>
      <c r="D18" s="10" t="n">
        <v>46280</v>
      </c>
      <c r="E18" s="12" t="n"/>
      <c r="F18" s="2">
        <f>"Open AR: "&amp;A18</f>
        <v/>
      </c>
      <c r="G18" s="8" t="n">
        <v>322.51</v>
      </c>
      <c r="H18" s="3" t="n"/>
      <c r="I18" s="4">
        <f>F18</f>
        <v/>
      </c>
      <c r="J18" t="inlineStr">
        <is>
          <t>AUD</t>
        </is>
      </c>
      <c r="K18" t="inlineStr">
        <is>
          <t>Customer Invoices</t>
        </is>
      </c>
    </row>
    <row r="19">
      <c r="A19" s="16" t="inlineStr">
        <is>
          <t>00017515</t>
        </is>
      </c>
      <c r="B19" s="6" t="inlineStr">
        <is>
          <t>MYOB-00017515</t>
        </is>
      </c>
      <c r="C19" s="2" t="inlineStr">
        <is>
          <t>CANDY ALLEY</t>
        </is>
      </c>
      <c r="D19" s="10" t="n">
        <v>46280</v>
      </c>
      <c r="E19" s="12" t="n"/>
      <c r="F19" s="2">
        <f>"Open AR: "&amp;A19</f>
        <v/>
      </c>
      <c r="G19" s="8" t="n">
        <v>1270.28</v>
      </c>
      <c r="H19" s="3" t="n"/>
      <c r="I19" s="4">
        <f>F19</f>
        <v/>
      </c>
      <c r="J19" t="inlineStr">
        <is>
          <t>AUD</t>
        </is>
      </c>
      <c r="K19" t="inlineStr">
        <is>
          <t>Customer Invoices</t>
        </is>
      </c>
    </row>
    <row r="20">
      <c r="A20" s="16" t="inlineStr">
        <is>
          <t>00017556</t>
        </is>
      </c>
      <c r="B20" s="6" t="inlineStr">
        <is>
          <t>MYOB-00017556</t>
        </is>
      </c>
      <c r="C20" s="2" t="inlineStr">
        <is>
          <t>CANDY ALLEY</t>
        </is>
      </c>
      <c r="D20" s="10" t="n">
        <v>46287</v>
      </c>
      <c r="E20" s="12" t="n"/>
      <c r="F20" s="2">
        <f>"Open AR: "&amp;A20</f>
        <v/>
      </c>
      <c r="G20" s="8" t="n">
        <v>661.1</v>
      </c>
      <c r="H20" s="3" t="n"/>
      <c r="I20" s="4">
        <f>F20</f>
        <v/>
      </c>
      <c r="J20" t="inlineStr">
        <is>
          <t>AUD</t>
        </is>
      </c>
      <c r="K20" t="inlineStr">
        <is>
          <t>Customer Invoices</t>
        </is>
      </c>
    </row>
    <row r="21">
      <c r="A21" s="16" t="inlineStr">
        <is>
          <t>00017557</t>
        </is>
      </c>
      <c r="B21" s="6" t="inlineStr">
        <is>
          <t>MYOB-00017557</t>
        </is>
      </c>
      <c r="C21" s="2" t="inlineStr">
        <is>
          <t>CANDY ALLEY</t>
        </is>
      </c>
      <c r="D21" s="10" t="n">
        <v>46287</v>
      </c>
      <c r="E21" s="12" t="n"/>
      <c r="F21" s="2">
        <f>"Open AR: "&amp;A21</f>
        <v/>
      </c>
      <c r="G21" s="8" t="n">
        <v>137.84</v>
      </c>
      <c r="H21" s="3" t="n"/>
      <c r="I21" s="4">
        <f>F21</f>
        <v/>
      </c>
      <c r="J21" t="inlineStr">
        <is>
          <t>AUD</t>
        </is>
      </c>
      <c r="K21" t="inlineStr">
        <is>
          <t>Customer Invoices</t>
        </is>
      </c>
    </row>
    <row r="22">
      <c r="A22" s="16" t="inlineStr">
        <is>
          <t>00017558</t>
        </is>
      </c>
      <c r="B22" s="6" t="inlineStr">
        <is>
          <t>MYOB-00017558</t>
        </is>
      </c>
      <c r="C22" s="2" t="inlineStr">
        <is>
          <t>CANDY ALLEY</t>
        </is>
      </c>
      <c r="D22" s="10" t="n">
        <v>46287</v>
      </c>
      <c r="E22" s="12" t="n"/>
      <c r="F22" s="2">
        <f>"Open AR: "&amp;A22</f>
        <v/>
      </c>
      <c r="G22" s="8" t="n">
        <v>261.91</v>
      </c>
      <c r="H22" s="3" t="n"/>
      <c r="I22" s="4">
        <f>F22</f>
        <v/>
      </c>
      <c r="J22" t="inlineStr">
        <is>
          <t>AUD</t>
        </is>
      </c>
      <c r="K22" t="inlineStr">
        <is>
          <t>Customer Invoices</t>
        </is>
      </c>
    </row>
    <row r="23">
      <c r="A23" s="16" t="inlineStr">
        <is>
          <t>00017572</t>
        </is>
      </c>
      <c r="B23" s="6" t="inlineStr">
        <is>
          <t>MYOB-00017572</t>
        </is>
      </c>
      <c r="C23" s="2" t="inlineStr">
        <is>
          <t>CANDY ALLEY</t>
        </is>
      </c>
      <c r="D23" s="10" t="n">
        <v>46294</v>
      </c>
      <c r="E23" s="12" t="n"/>
      <c r="F23" s="2">
        <f>"Open AR: "&amp;A23</f>
        <v/>
      </c>
      <c r="G23" s="8" t="n">
        <v>533.97</v>
      </c>
      <c r="H23" s="3" t="n"/>
      <c r="I23" s="4">
        <f>F23</f>
        <v/>
      </c>
      <c r="J23" t="inlineStr">
        <is>
          <t>AUD</t>
        </is>
      </c>
      <c r="K23" t="inlineStr">
        <is>
          <t>Customer Invoices</t>
        </is>
      </c>
    </row>
    <row r="24">
      <c r="A24" s="16" t="inlineStr">
        <is>
          <t>00017573</t>
        </is>
      </c>
      <c r="B24" s="6" t="inlineStr">
        <is>
          <t>MYOB-00017573</t>
        </is>
      </c>
      <c r="C24" s="2" t="inlineStr">
        <is>
          <t>CANDY ALLEY</t>
        </is>
      </c>
      <c r="D24" s="10" t="n">
        <v>46294</v>
      </c>
      <c r="E24" s="12" t="n"/>
      <c r="F24" s="2">
        <f>"Open AR: "&amp;A24</f>
        <v/>
      </c>
      <c r="G24" s="8" t="n">
        <v>234.18</v>
      </c>
      <c r="H24" s="3" t="n"/>
      <c r="I24" s="4">
        <f>F24</f>
        <v/>
      </c>
      <c r="J24" t="inlineStr">
        <is>
          <t>AUD</t>
        </is>
      </c>
      <c r="K24" t="inlineStr">
        <is>
          <t>Customer Invoices</t>
        </is>
      </c>
    </row>
    <row r="25">
      <c r="A25" s="16" t="inlineStr">
        <is>
          <t>00015277</t>
        </is>
      </c>
      <c r="B25" s="6" t="inlineStr">
        <is>
          <t>MYOB-00015277</t>
        </is>
      </c>
      <c r="C25" s="2" t="inlineStr">
        <is>
          <t>CASH SALE</t>
        </is>
      </c>
      <c r="D25" s="10" t="n">
        <v>45730</v>
      </c>
      <c r="E25" s="12" t="n"/>
      <c r="F25" s="2">
        <f>"Open AR: "&amp;A25</f>
        <v/>
      </c>
      <c r="G25" s="8" t="n">
        <v>426.46</v>
      </c>
      <c r="H25" s="3" t="n"/>
      <c r="I25" s="4">
        <f>F25</f>
        <v/>
      </c>
      <c r="J25" t="inlineStr">
        <is>
          <t>AUD</t>
        </is>
      </c>
      <c r="K25" t="inlineStr">
        <is>
          <t>Customer Invoices</t>
        </is>
      </c>
    </row>
    <row r="26">
      <c r="A26" s="16" t="inlineStr">
        <is>
          <t>00015674</t>
        </is>
      </c>
      <c r="B26" s="6" t="inlineStr">
        <is>
          <t>MYOB-00015674</t>
        </is>
      </c>
      <c r="C26" s="2" t="inlineStr">
        <is>
          <t>CASH SALE</t>
        </is>
      </c>
      <c r="D26" s="10" t="n">
        <v>45840</v>
      </c>
      <c r="E26" s="12" t="n"/>
      <c r="F26" s="2">
        <f>"Open AR: "&amp;A26</f>
        <v/>
      </c>
      <c r="G26" s="8" t="n">
        <v>0.05</v>
      </c>
      <c r="H26" s="3" t="n"/>
      <c r="I26" s="4">
        <f>F26</f>
        <v/>
      </c>
      <c r="J26" t="inlineStr">
        <is>
          <t>AUD</t>
        </is>
      </c>
      <c r="K26" t="inlineStr">
        <is>
          <t>Customer Invoices</t>
        </is>
      </c>
    </row>
    <row r="27">
      <c r="A27" s="16" t="inlineStr">
        <is>
          <t>00015734</t>
        </is>
      </c>
      <c r="B27" s="6" t="inlineStr">
        <is>
          <t>MYOB-00015734</t>
        </is>
      </c>
      <c r="C27" s="2" t="inlineStr">
        <is>
          <t>CASH SALE</t>
        </is>
      </c>
      <c r="D27" s="10" t="n">
        <v>45856</v>
      </c>
      <c r="E27" s="12" t="n"/>
      <c r="F27" s="2">
        <f>"Open AR: "&amp;A27</f>
        <v/>
      </c>
      <c r="G27" s="8" t="n">
        <v>351.78</v>
      </c>
      <c r="H27" s="3" t="n"/>
      <c r="I27" s="4">
        <f>F27</f>
        <v/>
      </c>
      <c r="J27" t="inlineStr">
        <is>
          <t>AUD</t>
        </is>
      </c>
      <c r="K27" t="inlineStr">
        <is>
          <t>Customer Invoices</t>
        </is>
      </c>
    </row>
    <row r="28">
      <c r="A28" s="16" t="inlineStr">
        <is>
          <t>00015801</t>
        </is>
      </c>
      <c r="B28" s="6" t="inlineStr">
        <is>
          <t>MYOB-00015801</t>
        </is>
      </c>
      <c r="C28" s="2" t="inlineStr">
        <is>
          <t>CASH SALE</t>
        </is>
      </c>
      <c r="D28" s="10" t="n">
        <v>45874</v>
      </c>
      <c r="E28" s="12" t="n"/>
      <c r="F28" s="2">
        <f>"Open AR: "&amp;A28</f>
        <v/>
      </c>
      <c r="G28" s="8" t="n">
        <v>351.78</v>
      </c>
      <c r="H28" s="3" t="n"/>
      <c r="I28" s="4">
        <f>F28</f>
        <v/>
      </c>
      <c r="J28" t="inlineStr">
        <is>
          <t>AUD</t>
        </is>
      </c>
      <c r="K28" t="inlineStr">
        <is>
          <t>Customer Invoices</t>
        </is>
      </c>
    </row>
    <row r="29">
      <c r="A29" s="16" t="inlineStr">
        <is>
          <t>00015918</t>
        </is>
      </c>
      <c r="B29" s="6" t="inlineStr">
        <is>
          <t>MYOB-00015918</t>
        </is>
      </c>
      <c r="C29" s="2" t="inlineStr">
        <is>
          <t>CASH SALE</t>
        </is>
      </c>
      <c r="D29" s="10" t="n">
        <v>45901</v>
      </c>
      <c r="E29" s="12" t="n"/>
      <c r="F29" s="2">
        <f>"Open AR: "&amp;A29</f>
        <v/>
      </c>
      <c r="G29" s="8" t="n">
        <v>1.78</v>
      </c>
      <c r="H29" s="3" t="n"/>
      <c r="I29" s="4">
        <f>F29</f>
        <v/>
      </c>
      <c r="J29" t="inlineStr">
        <is>
          <t>AUD</t>
        </is>
      </c>
      <c r="K29" t="inlineStr">
        <is>
          <t>Customer Invoices</t>
        </is>
      </c>
    </row>
    <row r="30">
      <c r="A30" s="16" t="inlineStr">
        <is>
          <t>00016030</t>
        </is>
      </c>
      <c r="B30" s="6" t="inlineStr">
        <is>
          <t>MYOB-00016030</t>
        </is>
      </c>
      <c r="C30" s="2" t="inlineStr">
        <is>
          <t>CASH SALE</t>
        </is>
      </c>
      <c r="D30" s="10" t="n">
        <v>45926</v>
      </c>
      <c r="E30" s="12" t="n"/>
      <c r="F30" s="2">
        <f>"Open AR: "&amp;A30</f>
        <v/>
      </c>
      <c r="G30" s="8" t="n">
        <v>389.24</v>
      </c>
      <c r="H30" s="3" t="n"/>
      <c r="I30" s="4">
        <f>F30</f>
        <v/>
      </c>
      <c r="J30" t="inlineStr">
        <is>
          <t>AUD</t>
        </is>
      </c>
      <c r="K30" t="inlineStr">
        <is>
          <t>Customer Invoices</t>
        </is>
      </c>
    </row>
    <row r="31">
      <c r="A31" s="16" t="inlineStr">
        <is>
          <t>00016104</t>
        </is>
      </c>
      <c r="B31" s="6" t="inlineStr">
        <is>
          <t>MYOB-00016104</t>
        </is>
      </c>
      <c r="C31" s="2" t="inlineStr">
        <is>
          <t>CASH SALE</t>
        </is>
      </c>
      <c r="D31" s="10" t="n">
        <v>45940</v>
      </c>
      <c r="E31" s="12" t="n"/>
      <c r="F31" s="2">
        <f>"Open AR: "&amp;A31</f>
        <v/>
      </c>
      <c r="G31" s="8" t="n">
        <v>669.11</v>
      </c>
      <c r="H31" s="3" t="n"/>
      <c r="I31" s="4">
        <f>F31</f>
        <v/>
      </c>
      <c r="J31" t="inlineStr">
        <is>
          <t>AUD</t>
        </is>
      </c>
      <c r="K31" t="inlineStr">
        <is>
          <t>Customer Invoices</t>
        </is>
      </c>
    </row>
    <row r="32">
      <c r="A32" s="16" t="inlineStr">
        <is>
          <t>00016701</t>
        </is>
      </c>
      <c r="B32" s="6" t="inlineStr">
        <is>
          <t>MYOB-00016701</t>
        </is>
      </c>
      <c r="C32" s="2" t="inlineStr">
        <is>
          <t>CASH SALE</t>
        </is>
      </c>
      <c r="D32" s="10" t="n">
        <v>46072</v>
      </c>
      <c r="E32" s="12" t="n"/>
      <c r="F32" s="2">
        <f>"Open AR: "&amp;A32</f>
        <v/>
      </c>
      <c r="G32" s="8" t="n">
        <v>0.29</v>
      </c>
      <c r="H32" s="3" t="n"/>
      <c r="I32" s="4">
        <f>F32</f>
        <v/>
      </c>
      <c r="J32" t="inlineStr">
        <is>
          <t>AUD</t>
        </is>
      </c>
      <c r="K32" t="inlineStr">
        <is>
          <t>Customer Invoices</t>
        </is>
      </c>
    </row>
    <row r="33">
      <c r="A33" s="16" t="inlineStr">
        <is>
          <t>00017230</t>
        </is>
      </c>
      <c r="B33" s="6" t="inlineStr">
        <is>
          <t>MYOB-00017230</t>
        </is>
      </c>
      <c r="C33" s="2" t="inlineStr">
        <is>
          <t>CASH SALE</t>
        </is>
      </c>
      <c r="D33" s="10" t="n">
        <v>46209</v>
      </c>
      <c r="E33" s="12" t="n"/>
      <c r="F33" s="2">
        <f>"Open AR: "&amp;A33</f>
        <v/>
      </c>
      <c r="G33" s="8" t="n">
        <v>2963.59</v>
      </c>
      <c r="H33" s="3" t="n"/>
      <c r="I33" s="4">
        <f>F33</f>
        <v/>
      </c>
      <c r="J33" t="inlineStr">
        <is>
          <t>AUD</t>
        </is>
      </c>
      <c r="K33" t="inlineStr">
        <is>
          <t>Customer Invoices</t>
        </is>
      </c>
    </row>
    <row r="34">
      <c r="A34" s="16" t="inlineStr">
        <is>
          <t>00017363</t>
        </is>
      </c>
      <c r="B34" s="6" t="inlineStr">
        <is>
          <t>MYOB-00017363</t>
        </is>
      </c>
      <c r="C34" s="2" t="inlineStr">
        <is>
          <t>CASH SALE</t>
        </is>
      </c>
      <c r="D34" s="10" t="n">
        <v>46239</v>
      </c>
      <c r="E34" s="12" t="n"/>
      <c r="F34" s="2">
        <f>"Open AR: "&amp;A34</f>
        <v/>
      </c>
      <c r="G34" s="8" t="n">
        <v>1491.07</v>
      </c>
      <c r="H34" s="3" t="n"/>
      <c r="I34" s="4">
        <f>F34</f>
        <v/>
      </c>
      <c r="J34" t="inlineStr">
        <is>
          <t>AUD</t>
        </is>
      </c>
      <c r="K34" t="inlineStr">
        <is>
          <t>Customer Invoices</t>
        </is>
      </c>
    </row>
    <row r="35">
      <c r="A35" s="16" t="inlineStr">
        <is>
          <t>00017391</t>
        </is>
      </c>
      <c r="B35" s="6" t="inlineStr">
        <is>
          <t>MYOB-00017391</t>
        </is>
      </c>
      <c r="C35" s="2" t="inlineStr">
        <is>
          <t>CASH SALE</t>
        </is>
      </c>
      <c r="D35" s="10" t="n">
        <v>46244</v>
      </c>
      <c r="E35" s="12" t="n"/>
      <c r="F35" s="2">
        <f>"Open AR: "&amp;A35</f>
        <v/>
      </c>
      <c r="G35" s="8" t="n">
        <v>2202.08</v>
      </c>
      <c r="H35" s="3" t="n"/>
      <c r="I35" s="4">
        <f>F35</f>
        <v/>
      </c>
      <c r="J35" t="inlineStr">
        <is>
          <t>AUD</t>
        </is>
      </c>
      <c r="K35" t="inlineStr">
        <is>
          <t>Customer Invoices</t>
        </is>
      </c>
    </row>
    <row r="36">
      <c r="A36" s="16" t="inlineStr">
        <is>
          <t>00017409</t>
        </is>
      </c>
      <c r="B36" s="6" t="inlineStr">
        <is>
          <t>MYOB-00017409</t>
        </is>
      </c>
      <c r="C36" s="2" t="inlineStr">
        <is>
          <t>CASH SALE</t>
        </is>
      </c>
      <c r="D36" s="10" t="n">
        <v>46248</v>
      </c>
      <c r="E36" s="12" t="n"/>
      <c r="F36" s="2">
        <f>"Open AR: "&amp;A36</f>
        <v/>
      </c>
      <c r="G36" s="8" t="n">
        <v>725.4</v>
      </c>
      <c r="H36" s="3" t="n"/>
      <c r="I36" s="4">
        <f>F36</f>
        <v/>
      </c>
      <c r="J36" t="inlineStr">
        <is>
          <t>AUD</t>
        </is>
      </c>
      <c r="K36" t="inlineStr">
        <is>
          <t>Customer Invoices</t>
        </is>
      </c>
    </row>
    <row r="37">
      <c r="A37" s="16" t="inlineStr">
        <is>
          <t>00017445</t>
        </is>
      </c>
      <c r="B37" s="6" t="inlineStr">
        <is>
          <t>MYOB-00017445</t>
        </is>
      </c>
      <c r="C37" s="2" t="inlineStr">
        <is>
          <t>CASH SALE</t>
        </is>
      </c>
      <c r="D37" s="10" t="n">
        <v>46258</v>
      </c>
      <c r="E37" s="12" t="n"/>
      <c r="F37" s="2">
        <f>"Open AR: "&amp;A37</f>
        <v/>
      </c>
      <c r="G37" s="8" t="n">
        <v>645.01</v>
      </c>
      <c r="H37" s="3" t="n"/>
      <c r="I37" s="4">
        <f>F37</f>
        <v/>
      </c>
      <c r="J37" t="inlineStr">
        <is>
          <t>AUD</t>
        </is>
      </c>
      <c r="K37" t="inlineStr">
        <is>
          <t>Customer Invoices</t>
        </is>
      </c>
    </row>
    <row r="38">
      <c r="A38" s="16" t="inlineStr">
        <is>
          <t>00017453</t>
        </is>
      </c>
      <c r="B38" s="6" t="inlineStr">
        <is>
          <t>MYOB-00017453</t>
        </is>
      </c>
      <c r="C38" s="2" t="inlineStr">
        <is>
          <t>CASH SALE</t>
        </is>
      </c>
      <c r="D38" s="10" t="n">
        <v>46260</v>
      </c>
      <c r="E38" s="12" t="n"/>
      <c r="F38" s="2">
        <f>"Open AR: "&amp;A38</f>
        <v/>
      </c>
      <c r="G38" s="8" t="n">
        <v>83.59999999999999</v>
      </c>
      <c r="H38" s="3" t="n"/>
      <c r="I38" s="4">
        <f>F38</f>
        <v/>
      </c>
      <c r="J38" t="inlineStr">
        <is>
          <t>AUD</t>
        </is>
      </c>
      <c r="K38" t="inlineStr">
        <is>
          <t>Customer Invoices</t>
        </is>
      </c>
    </row>
    <row r="39">
      <c r="A39" s="16" t="inlineStr">
        <is>
          <t>00017458</t>
        </is>
      </c>
      <c r="B39" s="6" t="inlineStr">
        <is>
          <t>MYOB-00017458</t>
        </is>
      </c>
      <c r="C39" s="2" t="inlineStr">
        <is>
          <t>CASH SALE</t>
        </is>
      </c>
      <c r="D39" s="10" t="n">
        <v>46261</v>
      </c>
      <c r="E39" s="12" t="n"/>
      <c r="F39" s="2">
        <f>"Open AR: "&amp;A39</f>
        <v/>
      </c>
      <c r="G39" s="8" t="n">
        <v>1212.64</v>
      </c>
      <c r="H39" s="3" t="n"/>
      <c r="I39" s="4">
        <f>F39</f>
        <v/>
      </c>
      <c r="J39" t="inlineStr">
        <is>
          <t>AUD</t>
        </is>
      </c>
      <c r="K39" t="inlineStr">
        <is>
          <t>Customer Invoices</t>
        </is>
      </c>
    </row>
    <row r="40">
      <c r="A40" s="16" t="inlineStr">
        <is>
          <t>00017500</t>
        </is>
      </c>
      <c r="B40" s="6" t="inlineStr">
        <is>
          <t>MYOB-00017500</t>
        </is>
      </c>
      <c r="C40" s="2" t="inlineStr">
        <is>
          <t>CASH SALE</t>
        </is>
      </c>
      <c r="D40" s="10" t="n">
        <v>46275</v>
      </c>
      <c r="E40" s="12" t="n"/>
      <c r="F40" s="2">
        <f>"Open AR: "&amp;A40</f>
        <v/>
      </c>
      <c r="G40" s="8" t="n">
        <v>1430.32</v>
      </c>
      <c r="H40" s="3" t="n"/>
      <c r="I40" s="4">
        <f>F40</f>
        <v/>
      </c>
      <c r="J40" t="inlineStr">
        <is>
          <t>AUD</t>
        </is>
      </c>
      <c r="K40" t="inlineStr">
        <is>
          <t>Customer Invoices</t>
        </is>
      </c>
    </row>
    <row r="41">
      <c r="A41" s="16" t="inlineStr">
        <is>
          <t>00017516</t>
        </is>
      </c>
      <c r="B41" s="6" t="inlineStr">
        <is>
          <t>MYOB-00017516</t>
        </is>
      </c>
      <c r="C41" s="2" t="inlineStr">
        <is>
          <t>CASH SALE</t>
        </is>
      </c>
      <c r="D41" s="10" t="n">
        <v>46280</v>
      </c>
      <c r="E41" s="12" t="n"/>
      <c r="F41" s="2">
        <f>"Open AR: "&amp;A41</f>
        <v/>
      </c>
      <c r="G41" s="8" t="n">
        <v>129.8</v>
      </c>
      <c r="H41" s="3" t="n"/>
      <c r="I41" s="4">
        <f>F41</f>
        <v/>
      </c>
      <c r="J41" t="inlineStr">
        <is>
          <t>AUD</t>
        </is>
      </c>
      <c r="K41" t="inlineStr">
        <is>
          <t>Customer Invoices</t>
        </is>
      </c>
    </row>
    <row r="42">
      <c r="A42" s="16" t="inlineStr">
        <is>
          <t>00017571</t>
        </is>
      </c>
      <c r="B42" s="6" t="inlineStr">
        <is>
          <t>MYOB-00017571</t>
        </is>
      </c>
      <c r="C42" s="2" t="inlineStr">
        <is>
          <t>CASH SALE</t>
        </is>
      </c>
      <c r="D42" s="10" t="n">
        <v>46295</v>
      </c>
      <c r="E42" s="12" t="n"/>
      <c r="F42" s="2">
        <f>"Open AR: "&amp;A42</f>
        <v/>
      </c>
      <c r="G42" s="8" t="n">
        <v>2013.37</v>
      </c>
      <c r="H42" s="3" t="n"/>
      <c r="I42" s="4">
        <f>F42</f>
        <v/>
      </c>
      <c r="J42" t="inlineStr">
        <is>
          <t>AUD</t>
        </is>
      </c>
      <c r="K42" t="inlineStr">
        <is>
          <t>Customer Invoices</t>
        </is>
      </c>
    </row>
    <row r="43">
      <c r="A43" s="16" t="inlineStr">
        <is>
          <t>00017537</t>
        </is>
      </c>
      <c r="B43" s="6" t="inlineStr">
        <is>
          <t>MYOB-00017537</t>
        </is>
      </c>
      <c r="C43" s="2" t="inlineStr">
        <is>
          <t>EUROFOOD WHOLESALE</t>
        </is>
      </c>
      <c r="D43" s="10" t="n">
        <v>46282</v>
      </c>
      <c r="E43" s="12" t="n"/>
      <c r="F43" s="2">
        <f>"Open AR: "&amp;A43</f>
        <v/>
      </c>
      <c r="G43" s="8" t="n">
        <v>6967.41</v>
      </c>
      <c r="H43" s="3" t="n"/>
      <c r="I43" s="4">
        <f>F43</f>
        <v/>
      </c>
      <c r="J43" t="inlineStr">
        <is>
          <t>AUD</t>
        </is>
      </c>
      <c r="K43" t="inlineStr">
        <is>
          <t>Customer Invoices</t>
        </is>
      </c>
    </row>
    <row r="44">
      <c r="A44" s="16" t="inlineStr">
        <is>
          <t>00015401</t>
        </is>
      </c>
      <c r="B44" s="6" t="inlineStr">
        <is>
          <t>MYOB-00015401</t>
        </is>
      </c>
      <c r="C44" s="2" t="inlineStr">
        <is>
          <t>FORREST ROAD FRESH</t>
        </is>
      </c>
      <c r="D44" s="10" t="n">
        <v>45763</v>
      </c>
      <c r="E44" s="12" t="n"/>
      <c r="F44" s="2">
        <f>"Open AR: "&amp;A44</f>
        <v/>
      </c>
      <c r="G44" s="8" t="n">
        <v>88.54000000000001</v>
      </c>
      <c r="H44" s="3" t="n"/>
      <c r="I44" s="4">
        <f>F44</f>
        <v/>
      </c>
      <c r="J44" t="inlineStr">
        <is>
          <t>AUD</t>
        </is>
      </c>
      <c r="K44" t="inlineStr">
        <is>
          <t>Customer Invoices</t>
        </is>
      </c>
    </row>
    <row r="45">
      <c r="A45" s="16" t="inlineStr">
        <is>
          <t>00015373</t>
        </is>
      </c>
      <c r="B45" s="6" t="inlineStr">
        <is>
          <t>MYOB-00015373</t>
        </is>
      </c>
      <c r="C45" s="2" t="inlineStr">
        <is>
          <t>FREMANTLE CANDY</t>
        </is>
      </c>
      <c r="D45" s="10" t="n">
        <v>45756</v>
      </c>
      <c r="E45" s="12" t="n"/>
      <c r="F45" s="2">
        <f>"Open AR: "&amp;A45</f>
        <v/>
      </c>
      <c r="G45" s="8" t="n">
        <v>103.95</v>
      </c>
      <c r="H45" s="3" t="n"/>
      <c r="I45" s="4">
        <f>F45</f>
        <v/>
      </c>
      <c r="J45" t="inlineStr">
        <is>
          <t>AUD</t>
        </is>
      </c>
      <c r="K45" t="inlineStr">
        <is>
          <t>Customer Invoices</t>
        </is>
      </c>
    </row>
    <row r="46">
      <c r="A46" s="16" t="inlineStr">
        <is>
          <t>00015933</t>
        </is>
      </c>
      <c r="B46" s="6" t="inlineStr">
        <is>
          <t>MYOB-00015933</t>
        </is>
      </c>
      <c r="C46" s="2" t="inlineStr">
        <is>
          <t>FREMANTLE CANDY</t>
        </is>
      </c>
      <c r="D46" s="10" t="n">
        <v>45903</v>
      </c>
      <c r="E46" s="12" t="n"/>
      <c r="F46" s="2">
        <f>"Open AR: "&amp;A46</f>
        <v/>
      </c>
      <c r="G46" s="8" t="n">
        <v>59.62</v>
      </c>
      <c r="H46" s="3" t="n"/>
      <c r="I46" s="4">
        <f>F46</f>
        <v/>
      </c>
      <c r="J46" t="inlineStr">
        <is>
          <t>AUD</t>
        </is>
      </c>
      <c r="K46" t="inlineStr">
        <is>
          <t>Customer Invoices</t>
        </is>
      </c>
    </row>
    <row r="47">
      <c r="A47" s="16" t="inlineStr">
        <is>
          <t>00017235</t>
        </is>
      </c>
      <c r="B47" s="6" t="inlineStr">
        <is>
          <t>MYOB-00017235</t>
        </is>
      </c>
      <c r="C47" s="2" t="inlineStr">
        <is>
          <t>FREMANTLE CANDY</t>
        </is>
      </c>
      <c r="D47" s="10" t="n">
        <v>46211</v>
      </c>
      <c r="E47" s="12" t="n"/>
      <c r="F47" s="2">
        <f>"Open AR: "&amp;A47</f>
        <v/>
      </c>
      <c r="G47" s="8" t="n">
        <v>1114.37</v>
      </c>
      <c r="H47" s="3" t="n"/>
      <c r="I47" s="4">
        <f>F47</f>
        <v/>
      </c>
      <c r="J47" t="inlineStr">
        <is>
          <t>AUD</t>
        </is>
      </c>
      <c r="K47" t="inlineStr">
        <is>
          <t>Customer Invoices</t>
        </is>
      </c>
    </row>
    <row r="48">
      <c r="A48" s="16" t="inlineStr">
        <is>
          <t>00017259</t>
        </is>
      </c>
      <c r="B48" s="6" t="inlineStr">
        <is>
          <t>MYOB-00017259</t>
        </is>
      </c>
      <c r="C48" s="2" t="inlineStr">
        <is>
          <t>FREMANTLE CANDY</t>
        </is>
      </c>
      <c r="D48" s="10" t="n">
        <v>46217</v>
      </c>
      <c r="E48" s="12" t="n"/>
      <c r="F48" s="2">
        <f>"Open AR: "&amp;A48</f>
        <v/>
      </c>
      <c r="G48" s="8" t="n">
        <v>3357.06</v>
      </c>
      <c r="H48" s="3" t="n"/>
      <c r="I48" s="4">
        <f>F48</f>
        <v/>
      </c>
      <c r="J48" t="inlineStr">
        <is>
          <t>AUD</t>
        </is>
      </c>
      <c r="K48" t="inlineStr">
        <is>
          <t>Customer Invoices</t>
        </is>
      </c>
    </row>
    <row r="49">
      <c r="A49" s="16" t="inlineStr">
        <is>
          <t>00017421</t>
        </is>
      </c>
      <c r="B49" s="6" t="inlineStr">
        <is>
          <t>MYOB-00017421</t>
        </is>
      </c>
      <c r="C49" s="2" t="inlineStr">
        <is>
          <t>FREMANTLE CANDY</t>
        </is>
      </c>
      <c r="D49" s="10" t="n">
        <v>46252</v>
      </c>
      <c r="E49" s="12" t="n"/>
      <c r="F49" s="2">
        <f>"Open AR: "&amp;A49</f>
        <v/>
      </c>
      <c r="G49" s="8" t="n">
        <v>950.11</v>
      </c>
      <c r="H49" s="3" t="n"/>
      <c r="I49" s="4">
        <f>F49</f>
        <v/>
      </c>
      <c r="J49" t="inlineStr">
        <is>
          <t>AUD</t>
        </is>
      </c>
      <c r="K49" t="inlineStr">
        <is>
          <t>Customer Invoices</t>
        </is>
      </c>
    </row>
    <row r="50">
      <c r="A50" s="16" t="inlineStr">
        <is>
          <t>00017463</t>
        </is>
      </c>
      <c r="B50" s="6" t="inlineStr">
        <is>
          <t>MYOB-00017463</t>
        </is>
      </c>
      <c r="C50" s="2" t="inlineStr">
        <is>
          <t>FREMANTLE CANDY</t>
        </is>
      </c>
      <c r="D50" s="10" t="n">
        <v>46265</v>
      </c>
      <c r="E50" s="12" t="n"/>
      <c r="F50" s="2">
        <f>"Open AR: "&amp;A50</f>
        <v/>
      </c>
      <c r="G50" s="8" t="n">
        <v>608.51</v>
      </c>
      <c r="H50" s="3" t="n"/>
      <c r="I50" s="4">
        <f>F50</f>
        <v/>
      </c>
      <c r="J50" t="inlineStr">
        <is>
          <t>AUD</t>
        </is>
      </c>
      <c r="K50" t="inlineStr">
        <is>
          <t>Customer Invoices</t>
        </is>
      </c>
    </row>
    <row r="51">
      <c r="A51" s="16" t="inlineStr">
        <is>
          <t>00017485</t>
        </is>
      </c>
      <c r="B51" s="6" t="inlineStr">
        <is>
          <t>MYOB-00017485</t>
        </is>
      </c>
      <c r="C51" s="2" t="inlineStr">
        <is>
          <t>FREMANTLE CANDY</t>
        </is>
      </c>
      <c r="D51" s="10" t="n">
        <v>46274</v>
      </c>
      <c r="E51" s="12" t="n"/>
      <c r="F51" s="2">
        <f>"Open AR: "&amp;A51</f>
        <v/>
      </c>
      <c r="G51" s="8" t="n">
        <v>4446.41</v>
      </c>
      <c r="H51" s="3" t="n"/>
      <c r="I51" s="4">
        <f>F51</f>
        <v/>
      </c>
      <c r="J51" t="inlineStr">
        <is>
          <t>AUD</t>
        </is>
      </c>
      <c r="K51" t="inlineStr">
        <is>
          <t>Customer Invoices</t>
        </is>
      </c>
    </row>
    <row r="52">
      <c r="A52" s="16" t="inlineStr">
        <is>
          <t>00017578</t>
        </is>
      </c>
      <c r="B52" s="6" t="inlineStr">
        <is>
          <t>MYOB-00017578</t>
        </is>
      </c>
      <c r="C52" s="2" t="inlineStr">
        <is>
          <t>FREMANTLE CANDY</t>
        </is>
      </c>
      <c r="D52" s="10" t="n">
        <v>46294</v>
      </c>
      <c r="E52" s="12" t="n"/>
      <c r="F52" s="2">
        <f>"Open AR: "&amp;A52</f>
        <v/>
      </c>
      <c r="G52" s="8" t="n">
        <v>830.75</v>
      </c>
      <c r="H52" s="3" t="n"/>
      <c r="I52" s="4">
        <f>F52</f>
        <v/>
      </c>
      <c r="J52" t="inlineStr">
        <is>
          <t>AUD</t>
        </is>
      </c>
      <c r="K52" t="inlineStr">
        <is>
          <t>Customer Invoices</t>
        </is>
      </c>
    </row>
    <row r="53">
      <c r="A53" s="16" t="inlineStr">
        <is>
          <t>00014583</t>
        </is>
      </c>
      <c r="B53" s="6" t="inlineStr">
        <is>
          <t>MYOB-00014583</t>
        </is>
      </c>
      <c r="C53" s="2" t="inlineStr">
        <is>
          <t>GLOBAL CONFECTIONERY</t>
        </is>
      </c>
      <c r="D53" s="10" t="n">
        <v>45572</v>
      </c>
      <c r="E53" s="12" t="n"/>
      <c r="F53" s="2">
        <f>"Open AR: "&amp;A53</f>
        <v/>
      </c>
      <c r="G53" s="8" t="n">
        <v>383.02</v>
      </c>
      <c r="H53" s="3" t="n"/>
      <c r="I53" s="4">
        <f>F53</f>
        <v/>
      </c>
      <c r="J53" t="inlineStr">
        <is>
          <t>AUD</t>
        </is>
      </c>
      <c r="K53" t="inlineStr">
        <is>
          <t>Customer Invoices</t>
        </is>
      </c>
    </row>
    <row r="54">
      <c r="A54" s="16" t="inlineStr">
        <is>
          <t>00017382</t>
        </is>
      </c>
      <c r="B54" s="6" t="inlineStr">
        <is>
          <t>MYOB-00017382</t>
        </is>
      </c>
      <c r="C54" s="2" t="inlineStr">
        <is>
          <t>GLOBAL CONFECTIONERY</t>
        </is>
      </c>
      <c r="D54" s="10" t="n">
        <v>46281</v>
      </c>
      <c r="E54" s="12" t="n"/>
      <c r="F54" s="2">
        <f>"Open AR: "&amp;A54</f>
        <v/>
      </c>
      <c r="G54" s="8" t="n">
        <v>8430.77</v>
      </c>
      <c r="H54" s="3" t="n"/>
      <c r="I54" s="4">
        <f>F54</f>
        <v/>
      </c>
      <c r="J54" t="inlineStr">
        <is>
          <t>AUD</t>
        </is>
      </c>
      <c r="K54" t="inlineStr">
        <is>
          <t>Customer Invoices</t>
        </is>
      </c>
    </row>
    <row r="55">
      <c r="A55" s="16" t="inlineStr">
        <is>
          <t>00017532</t>
        </is>
      </c>
      <c r="B55" s="6" t="inlineStr">
        <is>
          <t>MYOB-00017532</t>
        </is>
      </c>
      <c r="C55" s="2" t="inlineStr">
        <is>
          <t>GLOBAL CONFECTIONERY</t>
        </is>
      </c>
      <c r="D55" s="10" t="n">
        <v>46281</v>
      </c>
      <c r="E55" s="12" t="n"/>
      <c r="F55" s="2">
        <f>"Open AR: "&amp;A55</f>
        <v/>
      </c>
      <c r="G55" s="8" t="n">
        <v>491.68</v>
      </c>
      <c r="H55" s="3" t="n"/>
      <c r="I55" s="4">
        <f>F55</f>
        <v/>
      </c>
      <c r="J55" t="inlineStr">
        <is>
          <t>AUD</t>
        </is>
      </c>
      <c r="K55" t="inlineStr">
        <is>
          <t>Customer Invoices</t>
        </is>
      </c>
    </row>
    <row r="56">
      <c r="A56" s="16" t="inlineStr">
        <is>
          <t>00017533</t>
        </is>
      </c>
      <c r="B56" s="6" t="inlineStr">
        <is>
          <t>MYOB-00017533</t>
        </is>
      </c>
      <c r="C56" s="2" t="inlineStr">
        <is>
          <t>GLOBAL CONFECTIONERY</t>
        </is>
      </c>
      <c r="D56" s="10" t="n">
        <v>46281</v>
      </c>
      <c r="E56" s="12" t="n"/>
      <c r="F56" s="2">
        <f>"Open AR: "&amp;A56</f>
        <v/>
      </c>
      <c r="G56" s="8" t="n">
        <v>575.34</v>
      </c>
      <c r="H56" s="3" t="n"/>
      <c r="I56" s="4">
        <f>F56</f>
        <v/>
      </c>
      <c r="J56" t="inlineStr">
        <is>
          <t>AUD</t>
        </is>
      </c>
      <c r="K56" t="inlineStr">
        <is>
          <t>Customer Invoices</t>
        </is>
      </c>
    </row>
    <row r="57">
      <c r="A57" s="16" t="inlineStr">
        <is>
          <t>00017552</t>
        </is>
      </c>
      <c r="B57" s="6" t="inlineStr">
        <is>
          <t>MYOB-00017552</t>
        </is>
      </c>
      <c r="C57" s="2" t="inlineStr">
        <is>
          <t>GLOBAL CONFECTIONERY</t>
        </is>
      </c>
      <c r="D57" s="10" t="n">
        <v>46286</v>
      </c>
      <c r="E57" s="12" t="n"/>
      <c r="F57" s="2">
        <f>"Open AR: "&amp;A57</f>
        <v/>
      </c>
      <c r="G57" s="8" t="n">
        <v>383.25</v>
      </c>
      <c r="H57" s="3" t="n"/>
      <c r="I57" s="4">
        <f>F57</f>
        <v/>
      </c>
      <c r="J57" t="inlineStr">
        <is>
          <t>AUD</t>
        </is>
      </c>
      <c r="K57" t="inlineStr">
        <is>
          <t>Customer Invoices</t>
        </is>
      </c>
    </row>
    <row r="58">
      <c r="A58" s="16" t="inlineStr">
        <is>
          <t>00017406</t>
        </is>
      </c>
      <c r="B58" s="6" t="inlineStr">
        <is>
          <t>MYOB-00017406</t>
        </is>
      </c>
      <c r="C58" s="2" t="inlineStr">
        <is>
          <t>HIGHLAND FLING PRODUCTS</t>
        </is>
      </c>
      <c r="D58" s="10" t="n">
        <v>46247</v>
      </c>
      <c r="E58" s="12" t="n"/>
      <c r="F58" s="2">
        <f>"Open AR: "&amp;A58</f>
        <v/>
      </c>
      <c r="G58" s="8" t="n">
        <v>7851.61</v>
      </c>
      <c r="H58" s="3" t="n"/>
      <c r="I58" s="4">
        <f>F58</f>
        <v/>
      </c>
      <c r="J58" t="inlineStr">
        <is>
          <t>AUD</t>
        </is>
      </c>
      <c r="K58" t="inlineStr">
        <is>
          <t>Customer Invoices</t>
        </is>
      </c>
    </row>
    <row r="59">
      <c r="A59" s="16" t="inlineStr">
        <is>
          <t>00017408</t>
        </is>
      </c>
      <c r="B59" s="6" t="inlineStr">
        <is>
          <t>MYOB-00017408</t>
        </is>
      </c>
      <c r="C59" s="2" t="inlineStr">
        <is>
          <t>HIGHLAND FLING PRODUCTS</t>
        </is>
      </c>
      <c r="D59" s="10" t="n">
        <v>46248</v>
      </c>
      <c r="E59" s="12" t="n"/>
      <c r="F59" s="2">
        <f>"Open AR: "&amp;A59</f>
        <v/>
      </c>
      <c r="G59" s="8" t="n">
        <v>471.82</v>
      </c>
      <c r="H59" s="3" t="n"/>
      <c r="I59" s="4">
        <f>F59</f>
        <v/>
      </c>
      <c r="J59" t="inlineStr">
        <is>
          <t>AUD</t>
        </is>
      </c>
      <c r="K59" t="inlineStr">
        <is>
          <t>Customer Invoices</t>
        </is>
      </c>
    </row>
    <row r="60">
      <c r="A60" s="16" t="inlineStr">
        <is>
          <t>00017536</t>
        </is>
      </c>
      <c r="B60" s="6" t="inlineStr">
        <is>
          <t>MYOB-00017536</t>
        </is>
      </c>
      <c r="C60" s="2" t="inlineStr">
        <is>
          <t>HIGHLAND FLING PRODUCTS</t>
        </is>
      </c>
      <c r="D60" s="10" t="n">
        <v>46282</v>
      </c>
      <c r="E60" s="12" t="n"/>
      <c r="F60" s="2">
        <f>"Open AR: "&amp;A60</f>
        <v/>
      </c>
      <c r="G60" s="8" t="n">
        <v>7584.02</v>
      </c>
      <c r="H60" s="3" t="n"/>
      <c r="I60" s="4">
        <f>F60</f>
        <v/>
      </c>
      <c r="J60" t="inlineStr">
        <is>
          <t>AUD</t>
        </is>
      </c>
      <c r="K60" t="inlineStr">
        <is>
          <t>Customer Invoices</t>
        </is>
      </c>
    </row>
    <row r="61">
      <c r="A61" s="16" t="inlineStr">
        <is>
          <t>00017567</t>
        </is>
      </c>
      <c r="B61" s="6" t="inlineStr">
        <is>
          <t>MYOB-00017567</t>
        </is>
      </c>
      <c r="C61" s="2" t="inlineStr">
        <is>
          <t>HIGHLAND FLING PRODUCTS</t>
        </is>
      </c>
      <c r="D61" s="10" t="n">
        <v>46289</v>
      </c>
      <c r="E61" s="12" t="n"/>
      <c r="F61" s="2">
        <f>"Open AR: "&amp;A61</f>
        <v/>
      </c>
      <c r="G61" s="8" t="n">
        <v>581.23</v>
      </c>
      <c r="H61" s="3" t="n"/>
      <c r="I61" s="4">
        <f>F61</f>
        <v/>
      </c>
      <c r="J61" t="inlineStr">
        <is>
          <t>AUD</t>
        </is>
      </c>
      <c r="K61" t="inlineStr">
        <is>
          <t>Customer Invoices</t>
        </is>
      </c>
    </row>
    <row r="62">
      <c r="A62" s="16" t="inlineStr">
        <is>
          <t>00016430</t>
        </is>
      </c>
      <c r="B62" s="6" t="inlineStr">
        <is>
          <t>MYOB-00016430</t>
        </is>
      </c>
      <c r="C62" s="2" t="inlineStr">
        <is>
          <t>IGA ALKIMOS</t>
        </is>
      </c>
      <c r="D62" s="10" t="n">
        <v>46003</v>
      </c>
      <c r="E62" s="12" t="n"/>
      <c r="F62" s="2">
        <f>"Open AR: "&amp;A62</f>
        <v/>
      </c>
      <c r="G62" s="8" t="n">
        <v>669</v>
      </c>
      <c r="H62" s="3" t="n"/>
      <c r="I62" s="4">
        <f>F62</f>
        <v/>
      </c>
      <c r="J62" t="inlineStr">
        <is>
          <t>AUD</t>
        </is>
      </c>
      <c r="K62" t="inlineStr">
        <is>
          <t>Customer Invoices</t>
        </is>
      </c>
    </row>
    <row r="63">
      <c r="A63" s="16" t="inlineStr">
        <is>
          <t>00017065</t>
        </is>
      </c>
      <c r="B63" s="6" t="inlineStr">
        <is>
          <t>MYOB-00017065</t>
        </is>
      </c>
      <c r="C63" s="2" t="inlineStr">
        <is>
          <t>IGA ALKIMOS</t>
        </is>
      </c>
      <c r="D63" s="10" t="n">
        <v>46167</v>
      </c>
      <c r="E63" s="12" t="n"/>
      <c r="F63" s="2">
        <f>"Open AR: "&amp;A63</f>
        <v/>
      </c>
      <c r="G63" s="8" t="n">
        <v>589.6</v>
      </c>
      <c r="H63" s="3" t="n"/>
      <c r="I63" s="4">
        <f>F63</f>
        <v/>
      </c>
      <c r="J63" t="inlineStr">
        <is>
          <t>AUD</t>
        </is>
      </c>
      <c r="K63" t="inlineStr">
        <is>
          <t>Customer Invoices</t>
        </is>
      </c>
    </row>
    <row r="64">
      <c r="A64" s="16" t="inlineStr">
        <is>
          <t>00017435</t>
        </is>
      </c>
      <c r="B64" s="6" t="inlineStr">
        <is>
          <t>MYOB-00017435</t>
        </is>
      </c>
      <c r="C64" s="2" t="inlineStr">
        <is>
          <t>IGA ALKIMOS</t>
        </is>
      </c>
      <c r="D64" s="10" t="n">
        <v>46255</v>
      </c>
      <c r="E64" s="12" t="n"/>
      <c r="F64" s="2">
        <f>"Open AR: "&amp;A64</f>
        <v/>
      </c>
      <c r="G64" s="8" t="n">
        <v>498.74</v>
      </c>
      <c r="H64" s="3" t="n"/>
      <c r="I64" s="4">
        <f>F64</f>
        <v/>
      </c>
      <c r="J64" t="inlineStr">
        <is>
          <t>AUD</t>
        </is>
      </c>
      <c r="K64" t="inlineStr">
        <is>
          <t>Customer Invoices</t>
        </is>
      </c>
    </row>
    <row r="65">
      <c r="A65" s="16" t="inlineStr">
        <is>
          <t>00017436</t>
        </is>
      </c>
      <c r="B65" s="6" t="inlineStr">
        <is>
          <t>MYOB-00017436</t>
        </is>
      </c>
      <c r="C65" s="2" t="inlineStr">
        <is>
          <t>IGA ALKIMOS</t>
        </is>
      </c>
      <c r="D65" s="10" t="n">
        <v>46255</v>
      </c>
      <c r="E65" s="12" t="n"/>
      <c r="F65" s="2">
        <f>"Open AR: "&amp;A65</f>
        <v/>
      </c>
      <c r="G65" s="8" t="n">
        <v>7191.38</v>
      </c>
      <c r="H65" s="3" t="n"/>
      <c r="I65" s="4">
        <f>F65</f>
        <v/>
      </c>
      <c r="J65" t="inlineStr">
        <is>
          <t>AUD</t>
        </is>
      </c>
      <c r="K65" t="inlineStr">
        <is>
          <t>Customer Invoices</t>
        </is>
      </c>
    </row>
    <row r="66">
      <c r="A66" s="16" t="inlineStr">
        <is>
          <t>00017438</t>
        </is>
      </c>
      <c r="B66" s="6" t="inlineStr">
        <is>
          <t>MYOB-00017438</t>
        </is>
      </c>
      <c r="C66" s="2" t="inlineStr">
        <is>
          <t>IGA ALKIMOS</t>
        </is>
      </c>
      <c r="D66" s="10" t="n">
        <v>46255</v>
      </c>
      <c r="E66" s="12" t="n"/>
      <c r="F66" s="2">
        <f>"Open AR: "&amp;A66</f>
        <v/>
      </c>
      <c r="G66" s="8" t="n">
        <v>600</v>
      </c>
      <c r="H66" s="3" t="n"/>
      <c r="I66" s="4">
        <f>F66</f>
        <v/>
      </c>
      <c r="J66" t="inlineStr">
        <is>
          <t>AUD</t>
        </is>
      </c>
      <c r="K66" t="inlineStr">
        <is>
          <t>Customer Invoices</t>
        </is>
      </c>
    </row>
    <row r="67">
      <c r="A67" s="16" t="inlineStr">
        <is>
          <t>00017511</t>
        </is>
      </c>
      <c r="B67" s="6" t="inlineStr">
        <is>
          <t>MYOB-00017511</t>
        </is>
      </c>
      <c r="C67" s="2" t="inlineStr">
        <is>
          <t>IGA ALKIMOS</t>
        </is>
      </c>
      <c r="D67" s="10" t="n">
        <v>46280</v>
      </c>
      <c r="E67" s="12" t="n"/>
      <c r="F67" s="2">
        <f>"Open AR: "&amp;A67</f>
        <v/>
      </c>
      <c r="G67" s="8" t="n">
        <v>2112.77</v>
      </c>
      <c r="H67" s="3" t="n"/>
      <c r="I67" s="4">
        <f>F67</f>
        <v/>
      </c>
      <c r="J67" t="inlineStr">
        <is>
          <t>AUD</t>
        </is>
      </c>
      <c r="K67" t="inlineStr">
        <is>
          <t>Customer Invoices</t>
        </is>
      </c>
    </row>
    <row r="68">
      <c r="A68" s="16" t="inlineStr">
        <is>
          <t>00017462</t>
        </is>
      </c>
      <c r="B68" s="6" t="inlineStr">
        <is>
          <t>MYOB-00017462</t>
        </is>
      </c>
      <c r="C68" s="2" t="inlineStr">
        <is>
          <t>IGA BALDIVIS</t>
        </is>
      </c>
      <c r="D68" s="10" t="n">
        <v>46265</v>
      </c>
      <c r="E68" s="12" t="n"/>
      <c r="F68" s="2">
        <f>"Open AR: "&amp;A68</f>
        <v/>
      </c>
      <c r="G68" s="8" t="n">
        <v>369.86</v>
      </c>
      <c r="H68" s="3" t="n"/>
      <c r="I68" s="4">
        <f>F68</f>
        <v/>
      </c>
      <c r="J68" t="inlineStr">
        <is>
          <t>AUD</t>
        </is>
      </c>
      <c r="K68" t="inlineStr">
        <is>
          <t>Customer Invoices</t>
        </is>
      </c>
    </row>
    <row r="69">
      <c r="A69" s="16" t="inlineStr">
        <is>
          <t>00017502</t>
        </is>
      </c>
      <c r="B69" s="6" t="inlineStr">
        <is>
          <t>MYOB-00017502</t>
        </is>
      </c>
      <c r="C69" s="2" t="inlineStr">
        <is>
          <t>IGA BALDIVIS</t>
        </is>
      </c>
      <c r="D69" s="10" t="n">
        <v>46275</v>
      </c>
      <c r="E69" s="12" t="n"/>
      <c r="F69" s="2">
        <f>"Open AR: "&amp;A69</f>
        <v/>
      </c>
      <c r="G69" s="8" t="n">
        <v>2105.13</v>
      </c>
      <c r="H69" s="3" t="n"/>
      <c r="I69" s="4">
        <f>F69</f>
        <v/>
      </c>
      <c r="J69" t="inlineStr">
        <is>
          <t>AUD</t>
        </is>
      </c>
      <c r="K69" t="inlineStr">
        <is>
          <t>Customer Invoices</t>
        </is>
      </c>
    </row>
    <row r="70">
      <c r="A70" s="16" t="inlineStr">
        <is>
          <t>00017553</t>
        </is>
      </c>
      <c r="B70" s="6" t="inlineStr">
        <is>
          <t>MYOB-00017553</t>
        </is>
      </c>
      <c r="C70" s="2" t="inlineStr">
        <is>
          <t>IGA BALDIVIS</t>
        </is>
      </c>
      <c r="D70" s="10" t="n">
        <v>46287</v>
      </c>
      <c r="E70" s="12" t="n"/>
      <c r="F70" s="2">
        <f>"Open AR: "&amp;A70</f>
        <v/>
      </c>
      <c r="G70" s="8" t="n">
        <v>1037.99</v>
      </c>
      <c r="H70" s="3" t="n"/>
      <c r="I70" s="4">
        <f>F70</f>
        <v/>
      </c>
      <c r="J70" t="inlineStr">
        <is>
          <t>AUD</t>
        </is>
      </c>
      <c r="K70" t="inlineStr">
        <is>
          <t>Customer Invoices</t>
        </is>
      </c>
    </row>
    <row r="71">
      <c r="A71" s="16" t="inlineStr">
        <is>
          <t>00017467</t>
        </is>
      </c>
      <c r="B71" s="6" t="inlineStr">
        <is>
          <t>MYOB-00017467</t>
        </is>
      </c>
      <c r="C71" s="2" t="inlineStr">
        <is>
          <t>IGA BEAUMARIS</t>
        </is>
      </c>
      <c r="D71" s="10" t="n">
        <v>46265</v>
      </c>
      <c r="E71" s="12" t="n"/>
      <c r="F71" s="2">
        <f>"Open AR: "&amp;A71</f>
        <v/>
      </c>
      <c r="G71" s="8" t="n">
        <v>426.93</v>
      </c>
      <c r="H71" s="3" t="n"/>
      <c r="I71" s="4">
        <f>F71</f>
        <v/>
      </c>
      <c r="J71" t="inlineStr">
        <is>
          <t>AUD</t>
        </is>
      </c>
      <c r="K71" t="inlineStr">
        <is>
          <t>Customer Invoices</t>
        </is>
      </c>
    </row>
    <row r="72">
      <c r="A72" s="16" t="inlineStr">
        <is>
          <t>00017498</t>
        </is>
      </c>
      <c r="B72" s="6" t="inlineStr">
        <is>
          <t>MYOB-00017498</t>
        </is>
      </c>
      <c r="C72" s="2" t="inlineStr">
        <is>
          <t>IGA BEAUMARIS</t>
        </is>
      </c>
      <c r="D72" s="10" t="n">
        <v>46275</v>
      </c>
      <c r="E72" s="12" t="n"/>
      <c r="F72" s="2">
        <f>"Open AR: "&amp;A72</f>
        <v/>
      </c>
      <c r="G72" s="8" t="n">
        <v>4006.98</v>
      </c>
      <c r="H72" s="3" t="n"/>
      <c r="I72" s="4">
        <f>F72</f>
        <v/>
      </c>
      <c r="J72" t="inlineStr">
        <is>
          <t>AUD</t>
        </is>
      </c>
      <c r="K72" t="inlineStr">
        <is>
          <t>Customer Invoices</t>
        </is>
      </c>
    </row>
    <row r="73">
      <c r="A73" s="16" t="inlineStr">
        <is>
          <t>00017510</t>
        </is>
      </c>
      <c r="B73" s="6" t="inlineStr">
        <is>
          <t>MYOB-00017510</t>
        </is>
      </c>
      <c r="C73" s="2" t="inlineStr">
        <is>
          <t>IGA BEAUMARIS</t>
        </is>
      </c>
      <c r="D73" s="10" t="n">
        <v>46280</v>
      </c>
      <c r="E73" s="12" t="n"/>
      <c r="F73" s="2">
        <f>"Open AR: "&amp;A73</f>
        <v/>
      </c>
      <c r="G73" s="8" t="n">
        <v>967.39</v>
      </c>
      <c r="H73" s="3" t="n"/>
      <c r="I73" s="4">
        <f>F73</f>
        <v/>
      </c>
      <c r="J73" t="inlineStr">
        <is>
          <t>AUD</t>
        </is>
      </c>
      <c r="K73" t="inlineStr">
        <is>
          <t>Customer Invoices</t>
        </is>
      </c>
    </row>
    <row r="74">
      <c r="A74" s="16" t="inlineStr">
        <is>
          <t>00017544</t>
        </is>
      </c>
      <c r="B74" s="6" t="inlineStr">
        <is>
          <t>MYOB-00017544</t>
        </is>
      </c>
      <c r="C74" s="2" t="inlineStr">
        <is>
          <t>IGA BEAUMARIS</t>
        </is>
      </c>
      <c r="D74" s="10" t="n">
        <v>46286</v>
      </c>
      <c r="E74" s="12" t="n"/>
      <c r="F74" s="2">
        <f>"Open AR: "&amp;A74</f>
        <v/>
      </c>
      <c r="G74" s="8" t="n">
        <v>313.48</v>
      </c>
      <c r="H74" s="3" t="n"/>
      <c r="I74" s="4">
        <f>F74</f>
        <v/>
      </c>
      <c r="J74" t="inlineStr">
        <is>
          <t>AUD</t>
        </is>
      </c>
      <c r="K74" t="inlineStr">
        <is>
          <t>Customer Invoices</t>
        </is>
      </c>
    </row>
    <row r="75">
      <c r="A75" s="16" t="inlineStr">
        <is>
          <t>00017574</t>
        </is>
      </c>
      <c r="B75" s="6" t="inlineStr">
        <is>
          <t>MYOB-00017574</t>
        </is>
      </c>
      <c r="C75" s="2" t="inlineStr">
        <is>
          <t>IGA BEAUMARIS</t>
        </is>
      </c>
      <c r="D75" s="10" t="n">
        <v>46294</v>
      </c>
      <c r="E75" s="12" t="n"/>
      <c r="F75" s="2">
        <f>"Open AR: "&amp;A75</f>
        <v/>
      </c>
      <c r="G75" s="8" t="n">
        <v>257.03</v>
      </c>
      <c r="H75" s="3" t="n"/>
      <c r="I75" s="4">
        <f>F75</f>
        <v/>
      </c>
      <c r="J75" t="inlineStr">
        <is>
          <t>AUD</t>
        </is>
      </c>
      <c r="K75" t="inlineStr">
        <is>
          <t>Customer Invoices</t>
        </is>
      </c>
    </row>
    <row r="76">
      <c r="A76" s="16" t="inlineStr">
        <is>
          <t>00014881</t>
        </is>
      </c>
      <c r="B76" s="6" t="inlineStr">
        <is>
          <t>MYOB-00014881</t>
        </is>
      </c>
      <c r="C76" s="2" t="inlineStr">
        <is>
          <t>IGA CARINE</t>
        </is>
      </c>
      <c r="D76" s="10" t="n">
        <v>45628</v>
      </c>
      <c r="E76" s="12" t="n"/>
      <c r="F76" s="2">
        <f>"Open AR: "&amp;A76</f>
        <v/>
      </c>
      <c r="G76" s="8" t="n">
        <v>4.5</v>
      </c>
      <c r="H76" s="3" t="n"/>
      <c r="I76" s="4">
        <f>F76</f>
        <v/>
      </c>
      <c r="J76" t="inlineStr">
        <is>
          <t>AUD</t>
        </is>
      </c>
      <c r="K76" t="inlineStr">
        <is>
          <t>Customer Invoices</t>
        </is>
      </c>
    </row>
    <row r="77">
      <c r="A77" s="16" t="inlineStr">
        <is>
          <t>00017575</t>
        </is>
      </c>
      <c r="B77" s="6" t="inlineStr">
        <is>
          <t>MYOB-00017575</t>
        </is>
      </c>
      <c r="C77" s="2" t="inlineStr">
        <is>
          <t>IGA EDGEWATER</t>
        </is>
      </c>
      <c r="D77" s="10" t="n">
        <v>46294</v>
      </c>
      <c r="E77" s="12" t="n"/>
      <c r="F77" s="2">
        <f>"Open AR: "&amp;A77</f>
        <v/>
      </c>
      <c r="G77" s="8" t="n">
        <v>526.66</v>
      </c>
      <c r="H77" s="3" t="n"/>
      <c r="I77" s="4">
        <f>F77</f>
        <v/>
      </c>
      <c r="J77" t="inlineStr">
        <is>
          <t>AUD</t>
        </is>
      </c>
      <c r="K77" t="inlineStr">
        <is>
          <t>Customer Invoices</t>
        </is>
      </c>
    </row>
    <row r="78">
      <c r="A78" s="16" t="inlineStr">
        <is>
          <t>00017353</t>
        </is>
      </c>
      <c r="B78" s="6" t="inlineStr">
        <is>
          <t>MYOB-00017353</t>
        </is>
      </c>
      <c r="C78" s="2" t="inlineStr">
        <is>
          <t>IGA FRESH ATWELL</t>
        </is>
      </c>
      <c r="D78" s="10" t="n">
        <v>46238</v>
      </c>
      <c r="E78" s="12" t="n"/>
      <c r="F78" s="2">
        <f>"Open AR: "&amp;A78</f>
        <v/>
      </c>
      <c r="G78" s="8" t="n">
        <v>902.53</v>
      </c>
      <c r="H78" s="3" t="n"/>
      <c r="I78" s="4">
        <f>F78</f>
        <v/>
      </c>
      <c r="J78" t="inlineStr">
        <is>
          <t>AUD</t>
        </is>
      </c>
      <c r="K78" t="inlineStr">
        <is>
          <t>Customer Invoices</t>
        </is>
      </c>
    </row>
    <row r="79">
      <c r="A79" s="16" t="inlineStr">
        <is>
          <t>00017486</t>
        </is>
      </c>
      <c r="B79" s="6" t="inlineStr">
        <is>
          <t>MYOB-00017486</t>
        </is>
      </c>
      <c r="C79" s="2" t="inlineStr">
        <is>
          <t>IGA FRESH ATWELL</t>
        </is>
      </c>
      <c r="D79" s="10" t="n">
        <v>46274</v>
      </c>
      <c r="E79" s="12" t="n"/>
      <c r="F79" s="2">
        <f>"Open AR: "&amp;A79</f>
        <v/>
      </c>
      <c r="G79" s="8" t="n">
        <v>1818</v>
      </c>
      <c r="H79" s="3" t="n"/>
      <c r="I79" s="4">
        <f>F79</f>
        <v/>
      </c>
      <c r="J79" t="inlineStr">
        <is>
          <t>AUD</t>
        </is>
      </c>
      <c r="K79" t="inlineStr">
        <is>
          <t>Customer Invoices</t>
        </is>
      </c>
    </row>
    <row r="80">
      <c r="A80" s="16" t="inlineStr">
        <is>
          <t>00017327</t>
        </is>
      </c>
      <c r="B80" s="6" t="inlineStr">
        <is>
          <t>MYOB-00017327</t>
        </is>
      </c>
      <c r="C80" s="2" t="inlineStr">
        <is>
          <t>IGA ILUKA TUCKER FRESH</t>
        </is>
      </c>
      <c r="D80" s="10" t="n">
        <v>46234</v>
      </c>
      <c r="E80" s="12" t="n"/>
      <c r="F80" s="2">
        <f>"Open AR: "&amp;A80</f>
        <v/>
      </c>
      <c r="G80" s="8" t="n">
        <v>1692.75</v>
      </c>
      <c r="H80" s="3" t="n"/>
      <c r="I80" s="4">
        <f>F80</f>
        <v/>
      </c>
      <c r="J80" t="inlineStr">
        <is>
          <t>AUD</t>
        </is>
      </c>
      <c r="K80" t="inlineStr">
        <is>
          <t>Customer Invoices</t>
        </is>
      </c>
    </row>
    <row r="81">
      <c r="A81" s="16" t="inlineStr">
        <is>
          <t>00017367</t>
        </is>
      </c>
      <c r="B81" s="6" t="inlineStr">
        <is>
          <t>MYOB-00017367</t>
        </is>
      </c>
      <c r="C81" s="2" t="inlineStr">
        <is>
          <t>IGA ILUKA TUCKER FRESH</t>
        </is>
      </c>
      <c r="D81" s="10" t="n">
        <v>46239</v>
      </c>
      <c r="E81" s="12" t="n"/>
      <c r="F81" s="2">
        <f>"Open AR: "&amp;A81</f>
        <v/>
      </c>
      <c r="G81" s="8" t="n">
        <v>4275.59</v>
      </c>
      <c r="H81" s="3" t="n"/>
      <c r="I81" s="4">
        <f>F81</f>
        <v/>
      </c>
      <c r="J81" t="inlineStr">
        <is>
          <t>AUD</t>
        </is>
      </c>
      <c r="K81" t="inlineStr">
        <is>
          <t>Customer Invoices</t>
        </is>
      </c>
    </row>
    <row r="82">
      <c r="A82" s="16" t="inlineStr">
        <is>
          <t>00017397</t>
        </is>
      </c>
      <c r="B82" s="6" t="inlineStr">
        <is>
          <t>MYOB-00017397</t>
        </is>
      </c>
      <c r="C82" s="2" t="inlineStr">
        <is>
          <t>IGA ILUKA TUCKER FRESH</t>
        </is>
      </c>
      <c r="D82" s="10" t="n">
        <v>46246</v>
      </c>
      <c r="E82" s="12" t="n"/>
      <c r="F82" s="2">
        <f>"Open AR: "&amp;A82</f>
        <v/>
      </c>
      <c r="G82" s="8" t="n">
        <v>2176.29</v>
      </c>
      <c r="H82" s="3" t="n"/>
      <c r="I82" s="4">
        <f>F82</f>
        <v/>
      </c>
      <c r="J82" t="inlineStr">
        <is>
          <t>AUD</t>
        </is>
      </c>
      <c r="K82" t="inlineStr">
        <is>
          <t>Customer Invoices</t>
        </is>
      </c>
    </row>
    <row r="83">
      <c r="A83" s="16" t="inlineStr">
        <is>
          <t>00017426</t>
        </is>
      </c>
      <c r="B83" s="6" t="inlineStr">
        <is>
          <t>MYOB-00017426</t>
        </is>
      </c>
      <c r="C83" s="2" t="inlineStr">
        <is>
          <t>IGA ILUKA TUCKER FRESH</t>
        </is>
      </c>
      <c r="D83" s="10" t="n">
        <v>46252</v>
      </c>
      <c r="E83" s="12" t="n"/>
      <c r="F83" s="2">
        <f>"Open AR: "&amp;A83</f>
        <v/>
      </c>
      <c r="G83" s="8" t="n">
        <v>1045.81</v>
      </c>
      <c r="H83" s="3" t="n"/>
      <c r="I83" s="4">
        <f>F83</f>
        <v/>
      </c>
      <c r="J83" t="inlineStr">
        <is>
          <t>AUD</t>
        </is>
      </c>
      <c r="K83" t="inlineStr">
        <is>
          <t>Customer Invoices</t>
        </is>
      </c>
    </row>
    <row r="84">
      <c r="A84" s="16" t="inlineStr">
        <is>
          <t>00017450</t>
        </is>
      </c>
      <c r="B84" s="6" t="inlineStr">
        <is>
          <t>MYOB-00017450</t>
        </is>
      </c>
      <c r="C84" s="2" t="inlineStr">
        <is>
          <t>IGA ILUKA TUCKER FRESH</t>
        </is>
      </c>
      <c r="D84" s="10" t="n">
        <v>46259</v>
      </c>
      <c r="E84" s="12" t="n"/>
      <c r="F84" s="2">
        <f>"Open AR: "&amp;A84</f>
        <v/>
      </c>
      <c r="G84" s="8" t="n">
        <v>791.23</v>
      </c>
      <c r="H84" s="3" t="n"/>
      <c r="I84" s="4">
        <f>F84</f>
        <v/>
      </c>
      <c r="J84" t="inlineStr">
        <is>
          <t>AUD</t>
        </is>
      </c>
      <c r="K84" t="inlineStr">
        <is>
          <t>Customer Invoices</t>
        </is>
      </c>
    </row>
    <row r="85">
      <c r="A85" s="16" t="inlineStr">
        <is>
          <t>00017475</t>
        </is>
      </c>
      <c r="B85" s="6" t="inlineStr">
        <is>
          <t>MYOB-00017475</t>
        </is>
      </c>
      <c r="C85" s="2" t="inlineStr">
        <is>
          <t>IGA ILUKA TUCKER FRESH</t>
        </is>
      </c>
      <c r="D85" s="10" t="n">
        <v>46267</v>
      </c>
      <c r="E85" s="12" t="n"/>
      <c r="F85" s="2">
        <f>"Open AR: "&amp;A85</f>
        <v/>
      </c>
      <c r="G85" s="8" t="n">
        <v>495.96</v>
      </c>
      <c r="H85" s="3" t="n"/>
      <c r="I85" s="4">
        <f>F85</f>
        <v/>
      </c>
      <c r="J85" t="inlineStr">
        <is>
          <t>AUD</t>
        </is>
      </c>
      <c r="K85" t="inlineStr">
        <is>
          <t>Customer Invoices</t>
        </is>
      </c>
    </row>
    <row r="86">
      <c r="A86" s="16" t="inlineStr">
        <is>
          <t>00017479</t>
        </is>
      </c>
      <c r="B86" s="6" t="inlineStr">
        <is>
          <t>MYOB-00017479</t>
        </is>
      </c>
      <c r="C86" s="2" t="inlineStr">
        <is>
          <t>IGA ILUKA TUCKER FRESH</t>
        </is>
      </c>
      <c r="D86" s="10" t="n">
        <v>46273</v>
      </c>
      <c r="E86" s="12" t="n"/>
      <c r="F86" s="2">
        <f>"Open AR: "&amp;A86</f>
        <v/>
      </c>
      <c r="G86" s="8" t="n">
        <v>6402.32</v>
      </c>
      <c r="H86" s="3" t="n"/>
      <c r="I86" s="4">
        <f>F86</f>
        <v/>
      </c>
      <c r="J86" t="inlineStr">
        <is>
          <t>AUD</t>
        </is>
      </c>
      <c r="K86" t="inlineStr">
        <is>
          <t>Customer Invoices</t>
        </is>
      </c>
    </row>
    <row r="87">
      <c r="A87" s="16" t="inlineStr">
        <is>
          <t>00017495</t>
        </is>
      </c>
      <c r="B87" s="6" t="inlineStr">
        <is>
          <t>MYOB-00017495</t>
        </is>
      </c>
      <c r="C87" s="2" t="inlineStr">
        <is>
          <t>IGA ILUKA TUCKER FRESH</t>
        </is>
      </c>
      <c r="D87" s="10" t="n">
        <v>46275</v>
      </c>
      <c r="E87" s="12" t="n"/>
      <c r="F87" s="2">
        <f>"Open AR: "&amp;A87</f>
        <v/>
      </c>
      <c r="G87" s="8" t="n">
        <v>1824.76</v>
      </c>
      <c r="H87" s="3" t="n"/>
      <c r="I87" s="4">
        <f>F87</f>
        <v/>
      </c>
      <c r="J87" t="inlineStr">
        <is>
          <t>AUD</t>
        </is>
      </c>
      <c r="K87" t="inlineStr">
        <is>
          <t>Customer Invoices</t>
        </is>
      </c>
    </row>
    <row r="88">
      <c r="A88" s="16" t="inlineStr">
        <is>
          <t>00017528</t>
        </is>
      </c>
      <c r="B88" s="6" t="inlineStr">
        <is>
          <t>MYOB-00017528</t>
        </is>
      </c>
      <c r="C88" s="2" t="inlineStr">
        <is>
          <t>IGA ILUKA TUCKER FRESH</t>
        </is>
      </c>
      <c r="D88" s="10" t="n">
        <v>46281</v>
      </c>
      <c r="E88" s="12" t="n"/>
      <c r="F88" s="2">
        <f>"Open AR: "&amp;A88</f>
        <v/>
      </c>
      <c r="G88" s="8" t="n">
        <v>1451.54</v>
      </c>
      <c r="H88" s="3" t="n"/>
      <c r="I88" s="4">
        <f>F88</f>
        <v/>
      </c>
      <c r="J88" t="inlineStr">
        <is>
          <t>AUD</t>
        </is>
      </c>
      <c r="K88" t="inlineStr">
        <is>
          <t>Customer Invoices</t>
        </is>
      </c>
    </row>
    <row r="89">
      <c r="A89" s="16" t="inlineStr">
        <is>
          <t>00017563</t>
        </is>
      </c>
      <c r="B89" s="6" t="inlineStr">
        <is>
          <t>MYOB-00017563</t>
        </is>
      </c>
      <c r="C89" s="2" t="inlineStr">
        <is>
          <t>IGA ILUKA TUCKER FRESH</t>
        </is>
      </c>
      <c r="D89" s="10" t="n">
        <v>46288</v>
      </c>
      <c r="E89" s="12" t="n"/>
      <c r="F89" s="2">
        <f>"Open AR: "&amp;A89</f>
        <v/>
      </c>
      <c r="G89" s="8" t="n">
        <v>722.99</v>
      </c>
      <c r="H89" s="3" t="n"/>
      <c r="I89" s="4">
        <f>F89</f>
        <v/>
      </c>
      <c r="J89" t="inlineStr">
        <is>
          <t>AUD</t>
        </is>
      </c>
      <c r="K89" t="inlineStr">
        <is>
          <t>Customer Invoices</t>
        </is>
      </c>
    </row>
    <row r="90">
      <c r="A90" s="16" t="inlineStr">
        <is>
          <t>00017577</t>
        </is>
      </c>
      <c r="B90" s="6" t="inlineStr">
        <is>
          <t>MYOB-00017577</t>
        </is>
      </c>
      <c r="C90" s="2" t="inlineStr">
        <is>
          <t>IGA ILUKA TUCKER FRESH</t>
        </is>
      </c>
      <c r="D90" s="10" t="n">
        <v>46294</v>
      </c>
      <c r="E90" s="12" t="n"/>
      <c r="F90" s="2">
        <f>"Open AR: "&amp;A90</f>
        <v/>
      </c>
      <c r="G90" s="8" t="n">
        <v>859.34</v>
      </c>
      <c r="H90" s="3" t="n"/>
      <c r="I90" s="4">
        <f>F90</f>
        <v/>
      </c>
      <c r="J90" t="inlineStr">
        <is>
          <t>AUD</t>
        </is>
      </c>
      <c r="K90" t="inlineStr">
        <is>
          <t>Customer Invoices</t>
        </is>
      </c>
    </row>
    <row r="91">
      <c r="A91" s="16" t="inlineStr">
        <is>
          <t>00017026</t>
        </is>
      </c>
      <c r="B91" s="6" t="inlineStr">
        <is>
          <t>MYOB-00017026</t>
        </is>
      </c>
      <c r="C91" s="2" t="inlineStr">
        <is>
          <t>IGA KIARA</t>
        </is>
      </c>
      <c r="D91" s="10" t="n">
        <v>46157</v>
      </c>
      <c r="E91" s="12" t="n"/>
      <c r="F91" s="2">
        <f>"Open AR: "&amp;A91</f>
        <v/>
      </c>
      <c r="G91" s="8" t="n">
        <v>925.49</v>
      </c>
      <c r="H91" s="3" t="n"/>
      <c r="I91" s="4">
        <f>F91</f>
        <v/>
      </c>
      <c r="J91" t="inlineStr">
        <is>
          <t>AUD</t>
        </is>
      </c>
      <c r="K91" t="inlineStr">
        <is>
          <t>Customer Invoices</t>
        </is>
      </c>
    </row>
    <row r="92">
      <c r="A92" s="16" t="inlineStr">
        <is>
          <t>00017238</t>
        </is>
      </c>
      <c r="B92" s="6" t="inlineStr">
        <is>
          <t>MYOB-00017238</t>
        </is>
      </c>
      <c r="C92" s="2" t="inlineStr">
        <is>
          <t>IGA KIARA</t>
        </is>
      </c>
      <c r="D92" s="10" t="n">
        <v>46211</v>
      </c>
      <c r="E92" s="12" t="n"/>
      <c r="F92" s="2">
        <f>"Open AR: "&amp;A92</f>
        <v/>
      </c>
      <c r="G92" s="8" t="n">
        <v>2001.01</v>
      </c>
      <c r="H92" s="3" t="n"/>
      <c r="I92" s="4">
        <f>F92</f>
        <v/>
      </c>
      <c r="J92" t="inlineStr">
        <is>
          <t>AUD</t>
        </is>
      </c>
      <c r="K92" t="inlineStr">
        <is>
          <t>Customer Invoices</t>
        </is>
      </c>
    </row>
    <row r="93">
      <c r="A93" s="16" t="inlineStr">
        <is>
          <t>00017320</t>
        </is>
      </c>
      <c r="B93" s="6" t="inlineStr">
        <is>
          <t>MYOB-00017320</t>
        </is>
      </c>
      <c r="C93" s="2" t="inlineStr">
        <is>
          <t>IGA KIARA</t>
        </is>
      </c>
      <c r="D93" s="10" t="n">
        <v>46232</v>
      </c>
      <c r="E93" s="12" t="n"/>
      <c r="F93" s="2">
        <f>"Open AR: "&amp;A93</f>
        <v/>
      </c>
      <c r="G93" s="8" t="n">
        <v>437.35</v>
      </c>
      <c r="H93" s="3" t="n"/>
      <c r="I93" s="4">
        <f>F93</f>
        <v/>
      </c>
      <c r="J93" t="inlineStr">
        <is>
          <t>AUD</t>
        </is>
      </c>
      <c r="K93" t="inlineStr">
        <is>
          <t>Customer Invoices</t>
        </is>
      </c>
    </row>
    <row r="94">
      <c r="A94" s="16" t="inlineStr">
        <is>
          <t>00017430</t>
        </is>
      </c>
      <c r="B94" s="6" t="inlineStr">
        <is>
          <t>MYOB-00017430</t>
        </is>
      </c>
      <c r="C94" s="2" t="inlineStr">
        <is>
          <t>IGA KIARA</t>
        </is>
      </c>
      <c r="D94" s="10" t="n">
        <v>46253</v>
      </c>
      <c r="E94" s="12" t="n"/>
      <c r="F94" s="2">
        <f>"Open AR: "&amp;A94</f>
        <v/>
      </c>
      <c r="G94" s="8" t="n">
        <v>350.26</v>
      </c>
      <c r="H94" s="3" t="n"/>
      <c r="I94" s="4">
        <f>F94</f>
        <v/>
      </c>
      <c r="J94" t="inlineStr">
        <is>
          <t>AUD</t>
        </is>
      </c>
      <c r="K94" t="inlineStr">
        <is>
          <t>Customer Invoices</t>
        </is>
      </c>
    </row>
    <row r="95">
      <c r="A95" s="16" t="inlineStr">
        <is>
          <t>00017508</t>
        </is>
      </c>
      <c r="B95" s="6" t="inlineStr">
        <is>
          <t>MYOB-00017508</t>
        </is>
      </c>
      <c r="C95" s="2" t="inlineStr">
        <is>
          <t>IGA KIARA</t>
        </is>
      </c>
      <c r="D95" s="10" t="n">
        <v>46276</v>
      </c>
      <c r="E95" s="12" t="n"/>
      <c r="F95" s="2">
        <f>"Open AR: "&amp;A95</f>
        <v/>
      </c>
      <c r="G95" s="8" t="n">
        <v>544.04</v>
      </c>
      <c r="H95" s="3" t="n"/>
      <c r="I95" s="4">
        <f>F95</f>
        <v/>
      </c>
      <c r="J95" t="inlineStr">
        <is>
          <t>AUD</t>
        </is>
      </c>
      <c r="K95" t="inlineStr">
        <is>
          <t>Customer Invoices</t>
        </is>
      </c>
    </row>
    <row r="96">
      <c r="A96" s="16" t="inlineStr">
        <is>
          <t>00016424</t>
        </is>
      </c>
      <c r="B96" s="6" t="inlineStr">
        <is>
          <t>MYOB-00016424</t>
        </is>
      </c>
      <c r="C96" s="2" t="inlineStr">
        <is>
          <t>IGA KINROSS</t>
        </is>
      </c>
      <c r="D96" s="10" t="n">
        <v>46003</v>
      </c>
      <c r="E96" s="12" t="n"/>
      <c r="F96" s="2">
        <f>"Open AR: "&amp;A96</f>
        <v/>
      </c>
      <c r="G96" s="8" t="n">
        <v>14.08</v>
      </c>
      <c r="H96" s="3" t="n"/>
      <c r="I96" s="4">
        <f>F96</f>
        <v/>
      </c>
      <c r="J96" t="inlineStr">
        <is>
          <t>AUD</t>
        </is>
      </c>
      <c r="K96" t="inlineStr">
        <is>
          <t>Customer Invoices</t>
        </is>
      </c>
    </row>
    <row r="97">
      <c r="A97" s="16" t="inlineStr">
        <is>
          <t>00017231</t>
        </is>
      </c>
      <c r="B97" s="6" t="inlineStr">
        <is>
          <t>MYOB-00017231</t>
        </is>
      </c>
      <c r="C97" s="2" t="inlineStr">
        <is>
          <t>IGA KINROSS</t>
        </is>
      </c>
      <c r="D97" s="10" t="n">
        <v>46209</v>
      </c>
      <c r="E97" s="12" t="n"/>
      <c r="F97" s="2">
        <f>"Open AR: "&amp;A97</f>
        <v/>
      </c>
      <c r="G97" s="8" t="n">
        <v>9838.389999999999</v>
      </c>
      <c r="H97" s="3" t="n"/>
      <c r="I97" s="4">
        <f>F97</f>
        <v/>
      </c>
      <c r="J97" t="inlineStr">
        <is>
          <t>AUD</t>
        </is>
      </c>
      <c r="K97" t="inlineStr">
        <is>
          <t>Customer Invoices</t>
        </is>
      </c>
    </row>
    <row r="98">
      <c r="A98" s="16" t="inlineStr">
        <is>
          <t>00017232</t>
        </is>
      </c>
      <c r="B98" s="6" t="inlineStr">
        <is>
          <t>MYOB-00017232</t>
        </is>
      </c>
      <c r="C98" s="2" t="inlineStr">
        <is>
          <t>IGA KINROSS</t>
        </is>
      </c>
      <c r="D98" s="10" t="n">
        <v>46231</v>
      </c>
      <c r="E98" s="12" t="n"/>
      <c r="F98" s="2">
        <f>"Open AR: "&amp;A98</f>
        <v/>
      </c>
      <c r="G98" s="8" t="n">
        <v>6706.12</v>
      </c>
      <c r="H98" s="3" t="n"/>
      <c r="I98" s="4">
        <f>F98</f>
        <v/>
      </c>
      <c r="J98" t="inlineStr">
        <is>
          <t>AUD</t>
        </is>
      </c>
      <c r="K98" t="inlineStr">
        <is>
          <t>Customer Invoices</t>
        </is>
      </c>
    </row>
    <row r="99">
      <c r="A99" s="16" t="inlineStr">
        <is>
          <t>00017324</t>
        </is>
      </c>
      <c r="B99" s="6" t="inlineStr">
        <is>
          <t>MYOB-00017324</t>
        </is>
      </c>
      <c r="C99" s="2" t="inlineStr">
        <is>
          <t>IGA KINROSS</t>
        </is>
      </c>
      <c r="D99" s="10" t="n">
        <v>46233</v>
      </c>
      <c r="E99" s="12" t="n"/>
      <c r="F99" s="2">
        <f>"Open AR: "&amp;A99</f>
        <v/>
      </c>
      <c r="G99" s="8" t="n">
        <v>1012</v>
      </c>
      <c r="H99" s="3" t="n"/>
      <c r="I99" s="4">
        <f>F99</f>
        <v/>
      </c>
      <c r="J99" t="inlineStr">
        <is>
          <t>AUD</t>
        </is>
      </c>
      <c r="K99" t="inlineStr">
        <is>
          <t>Customer Invoices</t>
        </is>
      </c>
    </row>
    <row r="100">
      <c r="A100" s="16" t="inlineStr">
        <is>
          <t>00017335</t>
        </is>
      </c>
      <c r="B100" s="6" t="inlineStr">
        <is>
          <t>MYOB-00017335</t>
        </is>
      </c>
      <c r="C100" s="2" t="inlineStr">
        <is>
          <t>IGA KINROSS</t>
        </is>
      </c>
      <c r="D100" s="10" t="n">
        <v>46234</v>
      </c>
      <c r="E100" s="12" t="n"/>
      <c r="F100" s="2">
        <f>"Open AR: "&amp;A100</f>
        <v/>
      </c>
      <c r="G100" s="8" t="n">
        <v>9763.27</v>
      </c>
      <c r="H100" s="3" t="n"/>
      <c r="I100" s="4">
        <f>F100</f>
        <v/>
      </c>
      <c r="J100" t="inlineStr">
        <is>
          <t>AUD</t>
        </is>
      </c>
      <c r="K100" t="inlineStr">
        <is>
          <t>Customer Invoices</t>
        </is>
      </c>
    </row>
    <row r="101">
      <c r="A101" s="16" t="inlineStr">
        <is>
          <t>00017339</t>
        </is>
      </c>
      <c r="B101" s="6" t="inlineStr">
        <is>
          <t>MYOB-00017339</t>
        </is>
      </c>
      <c r="C101" s="2" t="inlineStr">
        <is>
          <t>IGA KINROSS</t>
        </is>
      </c>
      <c r="D101" s="10" t="n">
        <v>46236</v>
      </c>
      <c r="E101" s="12" t="n"/>
      <c r="F101" s="2">
        <f>"Open AR: "&amp;A101</f>
        <v/>
      </c>
      <c r="G101" s="8" t="n">
        <v>2170.08</v>
      </c>
      <c r="H101" s="3" t="n"/>
      <c r="I101" s="4">
        <f>F101</f>
        <v/>
      </c>
      <c r="J101" t="inlineStr">
        <is>
          <t>AUD</t>
        </is>
      </c>
      <c r="K101" t="inlineStr">
        <is>
          <t>Customer Invoices</t>
        </is>
      </c>
    </row>
    <row r="102">
      <c r="A102" s="16" t="inlineStr">
        <is>
          <t>00017343</t>
        </is>
      </c>
      <c r="B102" s="6" t="inlineStr">
        <is>
          <t>MYOB-00017343</t>
        </is>
      </c>
      <c r="C102" s="2" t="inlineStr">
        <is>
          <t>IGA KINROSS</t>
        </is>
      </c>
      <c r="D102" s="10" t="n">
        <v>46237</v>
      </c>
      <c r="E102" s="12" t="n"/>
      <c r="F102" s="2">
        <f>"Open AR: "&amp;A102</f>
        <v/>
      </c>
      <c r="G102" s="8" t="n">
        <v>12066.03</v>
      </c>
      <c r="H102" s="3" t="n"/>
      <c r="I102" s="4">
        <f>F102</f>
        <v/>
      </c>
      <c r="J102" t="inlineStr">
        <is>
          <t>AUD</t>
        </is>
      </c>
      <c r="K102" t="inlineStr">
        <is>
          <t>Customer Invoices</t>
        </is>
      </c>
    </row>
    <row r="103">
      <c r="A103" s="16" t="inlineStr">
        <is>
          <t>00017346</t>
        </is>
      </c>
      <c r="B103" s="6" t="inlineStr">
        <is>
          <t>MYOB-00017346</t>
        </is>
      </c>
      <c r="C103" s="2" t="inlineStr">
        <is>
          <t>IGA KINROSS</t>
        </is>
      </c>
      <c r="D103" s="10" t="n">
        <v>46238</v>
      </c>
      <c r="E103" s="12" t="n"/>
      <c r="F103" s="2">
        <f>"Open AR: "&amp;A103</f>
        <v/>
      </c>
      <c r="G103" s="8" t="n">
        <v>9694.65</v>
      </c>
      <c r="H103" s="3" t="n"/>
      <c r="I103" s="4">
        <f>F103</f>
        <v/>
      </c>
      <c r="J103" t="inlineStr">
        <is>
          <t>AUD</t>
        </is>
      </c>
      <c r="K103" t="inlineStr">
        <is>
          <t>Customer Invoices</t>
        </is>
      </c>
    </row>
    <row r="104">
      <c r="A104" s="16" t="inlineStr">
        <is>
          <t>00017359</t>
        </is>
      </c>
      <c r="B104" s="6" t="inlineStr">
        <is>
          <t>MYOB-00017359</t>
        </is>
      </c>
      <c r="C104" s="2" t="inlineStr">
        <is>
          <t>IGA KINROSS</t>
        </is>
      </c>
      <c r="D104" s="10" t="n">
        <v>46239</v>
      </c>
      <c r="E104" s="12" t="n"/>
      <c r="F104" s="2">
        <f>"Open AR: "&amp;A104</f>
        <v/>
      </c>
      <c r="G104" s="8" t="n">
        <v>56.18</v>
      </c>
      <c r="H104" s="3" t="n"/>
      <c r="I104" s="4">
        <f>F104</f>
        <v/>
      </c>
      <c r="J104" t="inlineStr">
        <is>
          <t>AUD</t>
        </is>
      </c>
      <c r="K104" t="inlineStr">
        <is>
          <t>Customer Invoices</t>
        </is>
      </c>
    </row>
    <row r="105">
      <c r="A105" s="16" t="inlineStr">
        <is>
          <t>00017361</t>
        </is>
      </c>
      <c r="B105" s="6" t="inlineStr">
        <is>
          <t>MYOB-00017361</t>
        </is>
      </c>
      <c r="C105" s="2" t="inlineStr">
        <is>
          <t>IGA KINROSS</t>
        </is>
      </c>
      <c r="D105" s="10" t="n">
        <v>46239</v>
      </c>
      <c r="E105" s="12" t="n"/>
      <c r="F105" s="2">
        <f>"Open AR: "&amp;A105</f>
        <v/>
      </c>
      <c r="G105" s="8" t="n">
        <v>438.42</v>
      </c>
      <c r="H105" s="3" t="n"/>
      <c r="I105" s="4">
        <f>F105</f>
        <v/>
      </c>
      <c r="J105" t="inlineStr">
        <is>
          <t>AUD</t>
        </is>
      </c>
      <c r="K105" t="inlineStr">
        <is>
          <t>Customer Invoices</t>
        </is>
      </c>
    </row>
    <row r="106">
      <c r="A106" s="16" t="inlineStr">
        <is>
          <t>00017389</t>
        </is>
      </c>
      <c r="B106" s="6" t="inlineStr">
        <is>
          <t>MYOB-00017389</t>
        </is>
      </c>
      <c r="C106" s="2" t="inlineStr">
        <is>
          <t>IGA KINROSS</t>
        </is>
      </c>
      <c r="D106" s="10" t="n">
        <v>46244</v>
      </c>
      <c r="E106" s="12" t="n"/>
      <c r="F106" s="2">
        <f>"Open AR: "&amp;A106</f>
        <v/>
      </c>
      <c r="G106" s="8" t="n">
        <v>5018.09</v>
      </c>
      <c r="H106" s="3" t="n"/>
      <c r="I106" s="4">
        <f>F106</f>
        <v/>
      </c>
      <c r="J106" t="inlineStr">
        <is>
          <t>AUD</t>
        </is>
      </c>
      <c r="K106" t="inlineStr">
        <is>
          <t>Customer Invoices</t>
        </is>
      </c>
    </row>
    <row r="107">
      <c r="A107" s="16" t="inlineStr">
        <is>
          <t>00017405</t>
        </is>
      </c>
      <c r="B107" s="6" t="inlineStr">
        <is>
          <t>MYOB-00017405</t>
        </is>
      </c>
      <c r="C107" s="2" t="inlineStr">
        <is>
          <t>IGA KINROSS</t>
        </is>
      </c>
      <c r="D107" s="10" t="n">
        <v>46247</v>
      </c>
      <c r="E107" s="12" t="n"/>
      <c r="F107" s="2">
        <f>"Open AR: "&amp;A107</f>
        <v/>
      </c>
      <c r="G107" s="8" t="n">
        <v>1643.58</v>
      </c>
      <c r="H107" s="3" t="n"/>
      <c r="I107" s="4">
        <f>F107</f>
        <v/>
      </c>
      <c r="J107" t="inlineStr">
        <is>
          <t>AUD</t>
        </is>
      </c>
      <c r="K107" t="inlineStr">
        <is>
          <t>Customer Invoices</t>
        </is>
      </c>
    </row>
    <row r="108">
      <c r="A108" s="16" t="inlineStr">
        <is>
          <t>00017414</t>
        </is>
      </c>
      <c r="B108" s="6" t="inlineStr">
        <is>
          <t>MYOB-00017414</t>
        </is>
      </c>
      <c r="C108" s="2" t="inlineStr">
        <is>
          <t>IGA KINROSS</t>
        </is>
      </c>
      <c r="D108" s="10" t="n">
        <v>46251</v>
      </c>
      <c r="E108" s="12" t="n"/>
      <c r="F108" s="2">
        <f>"Open AR: "&amp;A108</f>
        <v/>
      </c>
      <c r="G108" s="8" t="n">
        <v>6424.49</v>
      </c>
      <c r="H108" s="3" t="n"/>
      <c r="I108" s="4">
        <f>F108</f>
        <v/>
      </c>
      <c r="J108" t="inlineStr">
        <is>
          <t>AUD</t>
        </is>
      </c>
      <c r="K108" t="inlineStr">
        <is>
          <t>Customer Invoices</t>
        </is>
      </c>
    </row>
    <row r="109">
      <c r="A109" s="16" t="inlineStr">
        <is>
          <t>00017440</t>
        </is>
      </c>
      <c r="B109" s="6" t="inlineStr">
        <is>
          <t>MYOB-00017440</t>
        </is>
      </c>
      <c r="C109" s="2" t="inlineStr">
        <is>
          <t>IGA KINROSS</t>
        </is>
      </c>
      <c r="D109" s="10" t="n">
        <v>46258</v>
      </c>
      <c r="E109" s="12" t="n"/>
      <c r="F109" s="2">
        <f>"Open AR: "&amp;A109</f>
        <v/>
      </c>
      <c r="G109" s="8" t="n">
        <v>8751.969999999999</v>
      </c>
      <c r="H109" s="3" t="n"/>
      <c r="I109" s="4">
        <f>F109</f>
        <v/>
      </c>
      <c r="J109" t="inlineStr">
        <is>
          <t>AUD</t>
        </is>
      </c>
      <c r="K109" t="inlineStr">
        <is>
          <t>Customer Invoices</t>
        </is>
      </c>
    </row>
    <row r="110">
      <c r="A110" s="16" t="inlineStr">
        <is>
          <t>00017460</t>
        </is>
      </c>
      <c r="B110" s="6" t="inlineStr">
        <is>
          <t>MYOB-00017460</t>
        </is>
      </c>
      <c r="C110" s="2" t="inlineStr">
        <is>
          <t>IGA KINROSS</t>
        </is>
      </c>
      <c r="D110" s="10" t="n">
        <v>46261</v>
      </c>
      <c r="E110" s="12" t="n"/>
      <c r="F110" s="2">
        <f>"Open AR: "&amp;A110</f>
        <v/>
      </c>
      <c r="G110" s="8" t="n">
        <v>6469.67</v>
      </c>
      <c r="H110" s="3" t="n"/>
      <c r="I110" s="4">
        <f>F110</f>
        <v/>
      </c>
      <c r="J110" t="inlineStr">
        <is>
          <t>AUD</t>
        </is>
      </c>
      <c r="K110" t="inlineStr">
        <is>
          <t>Customer Invoices</t>
        </is>
      </c>
    </row>
    <row r="111">
      <c r="A111" s="16" t="inlineStr">
        <is>
          <t>00017466</t>
        </is>
      </c>
      <c r="B111" s="6" t="inlineStr">
        <is>
          <t>MYOB-00017466</t>
        </is>
      </c>
      <c r="C111" s="2" t="inlineStr">
        <is>
          <t>IGA KINROSS</t>
        </is>
      </c>
      <c r="D111" s="10" t="n">
        <v>46265</v>
      </c>
      <c r="E111" s="12" t="n"/>
      <c r="F111" s="2">
        <f>"Open AR: "&amp;A111</f>
        <v/>
      </c>
      <c r="G111" s="8" t="n">
        <v>2439.36</v>
      </c>
      <c r="H111" s="3" t="n"/>
      <c r="I111" s="4">
        <f>F111</f>
        <v/>
      </c>
      <c r="J111" t="inlineStr">
        <is>
          <t>AUD</t>
        </is>
      </c>
      <c r="K111" t="inlineStr">
        <is>
          <t>Customer Invoices</t>
        </is>
      </c>
    </row>
    <row r="112">
      <c r="A112" s="16" t="inlineStr">
        <is>
          <t>00017477</t>
        </is>
      </c>
      <c r="B112" s="6" t="inlineStr">
        <is>
          <t>MYOB-00017477</t>
        </is>
      </c>
      <c r="C112" s="2" t="inlineStr">
        <is>
          <t>IGA KINROSS</t>
        </is>
      </c>
      <c r="D112" s="10" t="n">
        <v>46268</v>
      </c>
      <c r="E112" s="12" t="n"/>
      <c r="F112" s="2">
        <f>"Open AR: "&amp;A112</f>
        <v/>
      </c>
      <c r="G112" s="8" t="n">
        <v>899.22</v>
      </c>
      <c r="H112" s="3" t="n"/>
      <c r="I112" s="4">
        <f>F112</f>
        <v/>
      </c>
      <c r="J112" t="inlineStr">
        <is>
          <t>AUD</t>
        </is>
      </c>
      <c r="K112" t="inlineStr">
        <is>
          <t>Customer Invoices</t>
        </is>
      </c>
    </row>
    <row r="113">
      <c r="A113" s="16" t="inlineStr">
        <is>
          <t>00017480</t>
        </is>
      </c>
      <c r="B113" s="6" t="inlineStr">
        <is>
          <t>MYOB-00017480</t>
        </is>
      </c>
      <c r="C113" s="2" t="inlineStr">
        <is>
          <t>IGA KINROSS</t>
        </is>
      </c>
      <c r="D113" s="10" t="n">
        <v>46273</v>
      </c>
      <c r="E113" s="12" t="n"/>
      <c r="F113" s="2">
        <f>"Open AR: "&amp;A113</f>
        <v/>
      </c>
      <c r="G113" s="8" t="n">
        <v>14664.98</v>
      </c>
      <c r="H113" s="3" t="n"/>
      <c r="I113" s="4">
        <f>F113</f>
        <v/>
      </c>
      <c r="J113" t="inlineStr">
        <is>
          <t>AUD</t>
        </is>
      </c>
      <c r="K113" t="inlineStr">
        <is>
          <t>Customer Invoices</t>
        </is>
      </c>
    </row>
    <row r="114">
      <c r="A114" s="16" t="inlineStr">
        <is>
          <t>00017490</t>
        </is>
      </c>
      <c r="B114" s="6" t="inlineStr">
        <is>
          <t>MYOB-00017490</t>
        </is>
      </c>
      <c r="C114" s="2" t="inlineStr">
        <is>
          <t>IGA KINROSS</t>
        </is>
      </c>
      <c r="D114" s="10" t="n">
        <v>46275</v>
      </c>
      <c r="E114" s="12" t="n"/>
      <c r="F114" s="2">
        <f>"Open AR: "&amp;A114</f>
        <v/>
      </c>
      <c r="G114" s="8" t="n">
        <v>11563.56</v>
      </c>
      <c r="H114" s="3" t="n"/>
      <c r="I114" s="4">
        <f>F114</f>
        <v/>
      </c>
      <c r="J114" t="inlineStr">
        <is>
          <t>AUD</t>
        </is>
      </c>
      <c r="K114" t="inlineStr">
        <is>
          <t>Customer Invoices</t>
        </is>
      </c>
    </row>
    <row r="115">
      <c r="A115" s="16" t="inlineStr">
        <is>
          <t>00017497</t>
        </is>
      </c>
      <c r="B115" s="6" t="inlineStr">
        <is>
          <t>MYOB-00017497</t>
        </is>
      </c>
      <c r="C115" s="2" t="inlineStr">
        <is>
          <t>IGA KINROSS</t>
        </is>
      </c>
      <c r="D115" s="10" t="n">
        <v>46275</v>
      </c>
      <c r="E115" s="12" t="n"/>
      <c r="F115" s="2">
        <f>"Open AR: "&amp;A115</f>
        <v/>
      </c>
      <c r="G115" s="8" t="n">
        <v>1920.01</v>
      </c>
      <c r="H115" s="3" t="n"/>
      <c r="I115" s="4">
        <f>F115</f>
        <v/>
      </c>
      <c r="J115" t="inlineStr">
        <is>
          <t>AUD</t>
        </is>
      </c>
      <c r="K115" t="inlineStr">
        <is>
          <t>Customer Invoices</t>
        </is>
      </c>
    </row>
    <row r="116">
      <c r="A116" s="16" t="inlineStr">
        <is>
          <t>00017509</t>
        </is>
      </c>
      <c r="B116" s="6" t="inlineStr">
        <is>
          <t>MYOB-00017509</t>
        </is>
      </c>
      <c r="C116" s="2" t="inlineStr">
        <is>
          <t>IGA KINROSS</t>
        </is>
      </c>
      <c r="D116" s="10" t="n">
        <v>46280</v>
      </c>
      <c r="E116" s="12" t="n"/>
      <c r="F116" s="2">
        <f>"Open AR: "&amp;A116</f>
        <v/>
      </c>
      <c r="G116" s="8" t="n">
        <v>6664.18</v>
      </c>
      <c r="H116" s="3" t="n"/>
      <c r="I116" s="4">
        <f>F116</f>
        <v/>
      </c>
      <c r="J116" t="inlineStr">
        <is>
          <t>AUD</t>
        </is>
      </c>
      <c r="K116" t="inlineStr">
        <is>
          <t>Customer Invoices</t>
        </is>
      </c>
    </row>
    <row r="117">
      <c r="A117" s="16" t="inlineStr">
        <is>
          <t>00017555</t>
        </is>
      </c>
      <c r="B117" s="6" t="inlineStr">
        <is>
          <t>MYOB-00017555</t>
        </is>
      </c>
      <c r="C117" s="2" t="inlineStr">
        <is>
          <t>IGA KINROSS</t>
        </is>
      </c>
      <c r="D117" s="10" t="n">
        <v>46287</v>
      </c>
      <c r="E117" s="12" t="n"/>
      <c r="F117" s="2">
        <f>"Open AR: "&amp;A117</f>
        <v/>
      </c>
      <c r="G117" s="8" t="n">
        <v>3468.92</v>
      </c>
      <c r="H117" s="3" t="n"/>
      <c r="I117" s="4">
        <f>F117</f>
        <v/>
      </c>
      <c r="J117" t="inlineStr">
        <is>
          <t>AUD</t>
        </is>
      </c>
      <c r="K117" t="inlineStr">
        <is>
          <t>Customer Invoices</t>
        </is>
      </c>
    </row>
    <row r="118">
      <c r="A118" s="16" t="inlineStr">
        <is>
          <t>00017576</t>
        </is>
      </c>
      <c r="B118" s="6" t="inlineStr">
        <is>
          <t>MYOB-00017576</t>
        </is>
      </c>
      <c r="C118" s="2" t="inlineStr">
        <is>
          <t>IGA KINROSS</t>
        </is>
      </c>
      <c r="D118" s="10" t="n">
        <v>46294</v>
      </c>
      <c r="E118" s="12" t="n"/>
      <c r="F118" s="2">
        <f>"Open AR: "&amp;A118</f>
        <v/>
      </c>
      <c r="G118" s="8" t="n">
        <v>2040.05</v>
      </c>
      <c r="H118" s="3" t="n"/>
      <c r="I118" s="4">
        <f>F118</f>
        <v/>
      </c>
      <c r="J118" t="inlineStr">
        <is>
          <t>AUD</t>
        </is>
      </c>
      <c r="K118" t="inlineStr">
        <is>
          <t>Customer Invoices</t>
        </is>
      </c>
    </row>
    <row r="119">
      <c r="A119" s="16" t="inlineStr">
        <is>
          <t>00017579</t>
        </is>
      </c>
      <c r="B119" s="6" t="inlineStr">
        <is>
          <t>MYOB-00017579</t>
        </is>
      </c>
      <c r="C119" s="2" t="inlineStr">
        <is>
          <t>IGA KINROSS</t>
        </is>
      </c>
      <c r="D119" s="10" t="n">
        <v>46295</v>
      </c>
      <c r="E119" s="12" t="n"/>
      <c r="F119" s="2">
        <f>"Open AR: "&amp;A119</f>
        <v/>
      </c>
      <c r="G119" s="8" t="n">
        <v>6913.01</v>
      </c>
      <c r="H119" s="3" t="n"/>
      <c r="I119" s="4">
        <f>F119</f>
        <v/>
      </c>
      <c r="J119" t="inlineStr">
        <is>
          <t>AUD</t>
        </is>
      </c>
      <c r="K119" t="inlineStr">
        <is>
          <t>Customer Invoices</t>
        </is>
      </c>
    </row>
    <row r="120">
      <c r="A120" s="16" t="inlineStr">
        <is>
          <t>00017512</t>
        </is>
      </c>
      <c r="B120" s="6" t="inlineStr">
        <is>
          <t>MYOB-00017512</t>
        </is>
      </c>
      <c r="C120" s="2" t="inlineStr">
        <is>
          <t>IGA MERRIWA</t>
        </is>
      </c>
      <c r="D120" s="10" t="n">
        <v>46280</v>
      </c>
      <c r="E120" s="12" t="n"/>
      <c r="F120" s="2">
        <f>"Open AR: "&amp;A120</f>
        <v/>
      </c>
      <c r="G120" s="8" t="n">
        <v>2379.3</v>
      </c>
      <c r="H120" s="3" t="n"/>
      <c r="I120" s="4">
        <f>F120</f>
        <v/>
      </c>
      <c r="J120" t="inlineStr">
        <is>
          <t>AUD</t>
        </is>
      </c>
      <c r="K120" t="inlineStr">
        <is>
          <t>Customer Invoices</t>
        </is>
      </c>
    </row>
    <row r="121">
      <c r="A121" s="16" t="inlineStr">
        <is>
          <t>00017319</t>
        </is>
      </c>
      <c r="B121" s="6" t="inlineStr">
        <is>
          <t>MYOB-00017319</t>
        </is>
      </c>
      <c r="C121" s="2" t="inlineStr">
        <is>
          <t>IGA MORRIS FRESH</t>
        </is>
      </c>
      <c r="D121" s="10" t="n">
        <v>46232</v>
      </c>
      <c r="E121" s="12" t="n"/>
      <c r="F121" s="2">
        <f>"Open AR: "&amp;A121</f>
        <v/>
      </c>
      <c r="G121" s="8" t="n">
        <v>842.39</v>
      </c>
      <c r="H121" s="3" t="n"/>
      <c r="I121" s="4">
        <f>F121</f>
        <v/>
      </c>
      <c r="J121" t="inlineStr">
        <is>
          <t>AUD</t>
        </is>
      </c>
      <c r="K121" t="inlineStr">
        <is>
          <t>Customer Invoices</t>
        </is>
      </c>
    </row>
    <row r="122">
      <c r="A122" s="16" t="inlineStr">
        <is>
          <t>00017365</t>
        </is>
      </c>
      <c r="B122" s="6" t="inlineStr">
        <is>
          <t>MYOB-00017365</t>
        </is>
      </c>
      <c r="C122" s="2" t="inlineStr">
        <is>
          <t>IGA MORRIS FRESH</t>
        </is>
      </c>
      <c r="D122" s="10" t="n">
        <v>46239</v>
      </c>
      <c r="E122" s="12" t="n"/>
      <c r="F122" s="2">
        <f>"Open AR: "&amp;A122</f>
        <v/>
      </c>
      <c r="G122" s="8" t="n">
        <v>1552.36</v>
      </c>
      <c r="H122" s="3" t="n"/>
      <c r="I122" s="4">
        <f>F122</f>
        <v/>
      </c>
      <c r="J122" t="inlineStr">
        <is>
          <t>AUD</t>
        </is>
      </c>
      <c r="K122" t="inlineStr">
        <is>
          <t>Customer Invoices</t>
        </is>
      </c>
    </row>
    <row r="123">
      <c r="A123" s="16" t="inlineStr">
        <is>
          <t>00017399</t>
        </is>
      </c>
      <c r="B123" s="6" t="inlineStr">
        <is>
          <t>MYOB-00017399</t>
        </is>
      </c>
      <c r="C123" s="2" t="inlineStr">
        <is>
          <t>IGA MORRIS FRESH</t>
        </is>
      </c>
      <c r="D123" s="10" t="n">
        <v>46246</v>
      </c>
      <c r="E123" s="12" t="n"/>
      <c r="F123" s="2">
        <f>"Open AR: "&amp;A123</f>
        <v/>
      </c>
      <c r="G123" s="8" t="n">
        <v>2244.34</v>
      </c>
      <c r="H123" s="3" t="n"/>
      <c r="I123" s="4">
        <f>F123</f>
        <v/>
      </c>
      <c r="J123" t="inlineStr">
        <is>
          <t>AUD</t>
        </is>
      </c>
      <c r="K123" t="inlineStr">
        <is>
          <t>Customer Invoices</t>
        </is>
      </c>
    </row>
    <row r="124">
      <c r="A124" s="16" t="inlineStr">
        <is>
          <t>00017432</t>
        </is>
      </c>
      <c r="B124" s="6" t="inlineStr">
        <is>
          <t>MYOB-00017432</t>
        </is>
      </c>
      <c r="C124" s="2" t="inlineStr">
        <is>
          <t>IGA MORRIS FRESH</t>
        </is>
      </c>
      <c r="D124" s="10" t="n">
        <v>46253</v>
      </c>
      <c r="E124" s="12" t="n"/>
      <c r="F124" s="2">
        <f>"Open AR: "&amp;A124</f>
        <v/>
      </c>
      <c r="G124" s="8" t="n">
        <v>749.6900000000001</v>
      </c>
      <c r="H124" s="3" t="n"/>
      <c r="I124" s="4">
        <f>F124</f>
        <v/>
      </c>
      <c r="J124" t="inlineStr">
        <is>
          <t>AUD</t>
        </is>
      </c>
      <c r="K124" t="inlineStr">
        <is>
          <t>Customer Invoices</t>
        </is>
      </c>
    </row>
    <row r="125">
      <c r="A125" s="16" t="inlineStr">
        <is>
          <t>00017454</t>
        </is>
      </c>
      <c r="B125" s="6" t="inlineStr">
        <is>
          <t>MYOB-00017454</t>
        </is>
      </c>
      <c r="C125" s="2" t="inlineStr">
        <is>
          <t>IGA MORRIS FRESH</t>
        </is>
      </c>
      <c r="D125" s="10" t="n">
        <v>46260</v>
      </c>
      <c r="E125" s="12" t="n"/>
      <c r="F125" s="2">
        <f>"Open AR: "&amp;A125</f>
        <v/>
      </c>
      <c r="G125" s="8" t="n">
        <v>936.83</v>
      </c>
      <c r="H125" s="3" t="n"/>
      <c r="I125" s="4">
        <f>F125</f>
        <v/>
      </c>
      <c r="J125" t="inlineStr">
        <is>
          <t>AUD</t>
        </is>
      </c>
      <c r="K125" t="inlineStr">
        <is>
          <t>Customer Invoices</t>
        </is>
      </c>
    </row>
    <row r="126">
      <c r="A126" s="16" t="inlineStr">
        <is>
          <t>00017459</t>
        </is>
      </c>
      <c r="B126" s="6" t="inlineStr">
        <is>
          <t>MYOB-00017459</t>
        </is>
      </c>
      <c r="C126" s="2" t="inlineStr">
        <is>
          <t>IGA MORRIS FRESH</t>
        </is>
      </c>
      <c r="D126" s="10" t="n">
        <v>46261</v>
      </c>
      <c r="E126" s="12" t="n"/>
      <c r="F126" s="2">
        <f>"Open AR: "&amp;A126</f>
        <v/>
      </c>
      <c r="G126" s="8" t="n">
        <v>1011.1</v>
      </c>
      <c r="H126" s="3" t="n"/>
      <c r="I126" s="4">
        <f>F126</f>
        <v/>
      </c>
      <c r="J126" t="inlineStr">
        <is>
          <t>AUD</t>
        </is>
      </c>
      <c r="K126" t="inlineStr">
        <is>
          <t>Customer Invoices</t>
        </is>
      </c>
    </row>
    <row r="127">
      <c r="A127" s="16" t="inlineStr">
        <is>
          <t>00017473</t>
        </is>
      </c>
      <c r="B127" s="6" t="inlineStr">
        <is>
          <t>MYOB-00017473</t>
        </is>
      </c>
      <c r="C127" s="2" t="inlineStr">
        <is>
          <t>IGA MORRIS FRESH</t>
        </is>
      </c>
      <c r="D127" s="10" t="n">
        <v>46267</v>
      </c>
      <c r="E127" s="12" t="n"/>
      <c r="F127" s="2">
        <f>"Open AR: "&amp;A127</f>
        <v/>
      </c>
      <c r="G127" s="8" t="n">
        <v>185.11</v>
      </c>
      <c r="H127" s="3" t="n"/>
      <c r="I127" s="4">
        <f>F127</f>
        <v/>
      </c>
      <c r="J127" t="inlineStr">
        <is>
          <t>AUD</t>
        </is>
      </c>
      <c r="K127" t="inlineStr">
        <is>
          <t>Customer Invoices</t>
        </is>
      </c>
    </row>
    <row r="128">
      <c r="A128" s="16" t="inlineStr">
        <is>
          <t>00017506</t>
        </is>
      </c>
      <c r="B128" s="6" t="inlineStr">
        <is>
          <t>MYOB-00017506</t>
        </is>
      </c>
      <c r="C128" s="2" t="inlineStr">
        <is>
          <t>IGA MORRIS FRESH</t>
        </is>
      </c>
      <c r="D128" s="10" t="n">
        <v>46276</v>
      </c>
      <c r="E128" s="12" t="n"/>
      <c r="F128" s="2">
        <f>"Open AR: "&amp;A128</f>
        <v/>
      </c>
      <c r="G128" s="8" t="n">
        <v>2764.17</v>
      </c>
      <c r="H128" s="3" t="n"/>
      <c r="I128" s="4">
        <f>F128</f>
        <v/>
      </c>
      <c r="J128" t="inlineStr">
        <is>
          <t>AUD</t>
        </is>
      </c>
      <c r="K128" t="inlineStr">
        <is>
          <t>Customer Invoices</t>
        </is>
      </c>
    </row>
    <row r="129">
      <c r="A129" s="16" t="inlineStr">
        <is>
          <t>00017524</t>
        </is>
      </c>
      <c r="B129" s="6" t="inlineStr">
        <is>
          <t>MYOB-00017524</t>
        </is>
      </c>
      <c r="C129" s="2" t="inlineStr">
        <is>
          <t>IGA MORRIS FRESH</t>
        </is>
      </c>
      <c r="D129" s="10" t="n">
        <v>46281</v>
      </c>
      <c r="E129" s="12" t="n"/>
      <c r="F129" s="2">
        <f>"Open AR: "&amp;A129</f>
        <v/>
      </c>
      <c r="G129" s="8" t="n">
        <v>1445.63</v>
      </c>
      <c r="H129" s="3" t="n"/>
      <c r="I129" s="4">
        <f>F129</f>
        <v/>
      </c>
      <c r="J129" t="inlineStr">
        <is>
          <t>AUD</t>
        </is>
      </c>
      <c r="K129" t="inlineStr">
        <is>
          <t>Customer Invoices</t>
        </is>
      </c>
    </row>
    <row r="130">
      <c r="A130" s="16" t="inlineStr">
        <is>
          <t>00017562</t>
        </is>
      </c>
      <c r="B130" s="6" t="inlineStr">
        <is>
          <t>MYOB-00017562</t>
        </is>
      </c>
      <c r="C130" s="2" t="inlineStr">
        <is>
          <t>IGA MORRIS FRESH</t>
        </is>
      </c>
      <c r="D130" s="10" t="n">
        <v>46288</v>
      </c>
      <c r="E130" s="12" t="n"/>
      <c r="F130" s="2">
        <f>"Open AR: "&amp;A130</f>
        <v/>
      </c>
      <c r="G130" s="8" t="n">
        <v>774.3099999999999</v>
      </c>
      <c r="H130" s="3" t="n"/>
      <c r="I130" s="4">
        <f>F130</f>
        <v/>
      </c>
      <c r="J130" t="inlineStr">
        <is>
          <t>AUD</t>
        </is>
      </c>
      <c r="K130" t="inlineStr">
        <is>
          <t>Customer Invoices</t>
        </is>
      </c>
    </row>
    <row r="131">
      <c r="A131" s="16" t="inlineStr">
        <is>
          <t>00017568</t>
        </is>
      </c>
      <c r="B131" s="6" t="inlineStr">
        <is>
          <t>MYOB-00017568</t>
        </is>
      </c>
      <c r="C131" s="2" t="inlineStr">
        <is>
          <t>IGA MORRIS FRESH</t>
        </is>
      </c>
      <c r="D131" s="10" t="n">
        <v>46289</v>
      </c>
      <c r="E131" s="12" t="n"/>
      <c r="F131" s="2">
        <f>"Open AR: "&amp;A131</f>
        <v/>
      </c>
      <c r="G131" s="8" t="n">
        <v>149.04</v>
      </c>
      <c r="H131" s="3" t="n"/>
      <c r="I131" s="4">
        <f>F131</f>
        <v/>
      </c>
      <c r="J131" t="inlineStr">
        <is>
          <t>AUD</t>
        </is>
      </c>
      <c r="K131" t="inlineStr">
        <is>
          <t>Customer Invoices</t>
        </is>
      </c>
    </row>
    <row r="132">
      <c r="A132" s="16" t="inlineStr">
        <is>
          <t>00017529</t>
        </is>
      </c>
      <c r="B132" s="6" t="inlineStr">
        <is>
          <t>MYOB-00017529</t>
        </is>
      </c>
      <c r="C132" s="2" t="inlineStr">
        <is>
          <t>IGA MULLALOO</t>
        </is>
      </c>
      <c r="D132" s="10" t="n">
        <v>46281</v>
      </c>
      <c r="E132" s="12" t="n"/>
      <c r="F132" s="2">
        <f>"Open AR: "&amp;A132</f>
        <v/>
      </c>
      <c r="G132" s="8" t="n">
        <v>557.5</v>
      </c>
      <c r="H132" s="3" t="n"/>
      <c r="I132" s="4">
        <f>F132</f>
        <v/>
      </c>
      <c r="J132" t="inlineStr">
        <is>
          <t>AUD</t>
        </is>
      </c>
      <c r="K132" t="inlineStr">
        <is>
          <t>Customer Invoices</t>
        </is>
      </c>
    </row>
    <row r="133">
      <c r="A133" s="16" t="inlineStr">
        <is>
          <t>00017370</t>
        </is>
      </c>
      <c r="B133" s="6" t="inlineStr">
        <is>
          <t>MYOB-00017370</t>
        </is>
      </c>
      <c r="C133" s="2" t="inlineStr">
        <is>
          <t>IGA NICHOLSON TUCKER FRESH</t>
        </is>
      </c>
      <c r="D133" s="10" t="n">
        <v>46239</v>
      </c>
      <c r="E133" s="12" t="n"/>
      <c r="F133" s="2">
        <f>"Open AR: "&amp;A133</f>
        <v/>
      </c>
      <c r="G133" s="8" t="n">
        <v>1400.22</v>
      </c>
      <c r="H133" s="3" t="n"/>
      <c r="I133" s="4">
        <f>F133</f>
        <v/>
      </c>
      <c r="J133" t="inlineStr">
        <is>
          <t>AUD</t>
        </is>
      </c>
      <c r="K133" t="inlineStr">
        <is>
          <t>Customer Invoices</t>
        </is>
      </c>
    </row>
    <row r="134">
      <c r="A134" s="16" t="inlineStr">
        <is>
          <t>00017487</t>
        </is>
      </c>
      <c r="B134" s="6" t="inlineStr">
        <is>
          <t>MYOB-00017487</t>
        </is>
      </c>
      <c r="C134" s="2" t="inlineStr">
        <is>
          <t>IGA NICHOLSON TUCKER FRESH</t>
        </is>
      </c>
      <c r="D134" s="10" t="n">
        <v>46274</v>
      </c>
      <c r="E134" s="12" t="n"/>
      <c r="F134" s="2">
        <f>"Open AR: "&amp;A134</f>
        <v/>
      </c>
      <c r="G134" s="8" t="n">
        <v>1123.32</v>
      </c>
      <c r="H134" s="3" t="n"/>
      <c r="I134" s="4">
        <f>F134</f>
        <v/>
      </c>
      <c r="J134" t="inlineStr">
        <is>
          <t>AUD</t>
        </is>
      </c>
      <c r="K134" t="inlineStr">
        <is>
          <t>Customer Invoices</t>
        </is>
      </c>
    </row>
    <row r="135">
      <c r="A135" s="16" t="inlineStr">
        <is>
          <t>00017478</t>
        </is>
      </c>
      <c r="B135" s="6" t="inlineStr">
        <is>
          <t>MYOB-00017478</t>
        </is>
      </c>
      <c r="C135" s="2" t="inlineStr">
        <is>
          <t>IGA O'CONNOR FRESH SUPA</t>
        </is>
      </c>
      <c r="D135" s="10" t="n">
        <v>46272</v>
      </c>
      <c r="E135" s="12" t="n"/>
      <c r="F135" s="2">
        <f>"Open AR: "&amp;A135</f>
        <v/>
      </c>
      <c r="G135" s="8" t="n">
        <v>192.71</v>
      </c>
      <c r="H135" s="3" t="n"/>
      <c r="I135" s="4">
        <f>F135</f>
        <v/>
      </c>
      <c r="J135" t="inlineStr">
        <is>
          <t>AUD</t>
        </is>
      </c>
      <c r="K135" t="inlineStr">
        <is>
          <t>Customer Invoices</t>
        </is>
      </c>
    </row>
    <row r="136">
      <c r="A136" s="16" t="inlineStr">
        <is>
          <t>00017543</t>
        </is>
      </c>
      <c r="B136" s="6" t="inlineStr">
        <is>
          <t>MYOB-00017543</t>
        </is>
      </c>
      <c r="C136" s="2" t="inlineStr">
        <is>
          <t>IGA O'CONNOR FRESH SUPA</t>
        </is>
      </c>
      <c r="D136" s="10" t="n">
        <v>46286</v>
      </c>
      <c r="E136" s="12" t="n"/>
      <c r="F136" s="2">
        <f>"Open AR: "&amp;A136</f>
        <v/>
      </c>
      <c r="G136" s="8" t="n">
        <v>1051.36</v>
      </c>
      <c r="H136" s="3" t="n"/>
      <c r="I136" s="4">
        <f>F136</f>
        <v/>
      </c>
      <c r="J136" t="inlineStr">
        <is>
          <t>AUD</t>
        </is>
      </c>
      <c r="K136" t="inlineStr">
        <is>
          <t>Customer Invoices</t>
        </is>
      </c>
    </row>
    <row r="137">
      <c r="A137" s="16" t="inlineStr">
        <is>
          <t>00016826</t>
        </is>
      </c>
      <c r="B137" s="6" t="inlineStr">
        <is>
          <t>MYOB-00016826</t>
        </is>
      </c>
      <c r="C137" s="2" t="inlineStr">
        <is>
          <t>IGA TUCKER FRESH PIARA WATERS</t>
        </is>
      </c>
      <c r="D137" s="10" t="n">
        <v>46105</v>
      </c>
      <c r="E137" s="12" t="n"/>
      <c r="F137" s="2">
        <f>"Open AR: "&amp;A137</f>
        <v/>
      </c>
      <c r="G137" s="8" t="n">
        <v>584.72</v>
      </c>
      <c r="H137" s="3" t="n"/>
      <c r="I137" s="4">
        <f>F137</f>
        <v/>
      </c>
      <c r="J137" t="inlineStr">
        <is>
          <t>AUD</t>
        </is>
      </c>
      <c r="K137" t="inlineStr">
        <is>
          <t>Customer Invoices</t>
        </is>
      </c>
    </row>
    <row r="138">
      <c r="A138" s="16" t="inlineStr">
        <is>
          <t>00017507</t>
        </is>
      </c>
      <c r="B138" s="6" t="inlineStr">
        <is>
          <t>MYOB-00017507</t>
        </is>
      </c>
      <c r="C138" s="2" t="inlineStr">
        <is>
          <t>KALLAROO SEAFOOD</t>
        </is>
      </c>
      <c r="D138" s="10" t="n">
        <v>46276</v>
      </c>
      <c r="E138" s="12" t="n"/>
      <c r="F138" s="2">
        <f>"Open AR: "&amp;A138</f>
        <v/>
      </c>
      <c r="G138" s="8" t="n">
        <v>217.8</v>
      </c>
      <c r="H138" s="3" t="n"/>
      <c r="I138" s="4">
        <f>F138</f>
        <v/>
      </c>
      <c r="J138" t="inlineStr">
        <is>
          <t>AUD</t>
        </is>
      </c>
      <c r="K138" t="inlineStr">
        <is>
          <t>Customer Invoices</t>
        </is>
      </c>
    </row>
    <row r="139">
      <c r="A139" s="16" t="inlineStr">
        <is>
          <t>00014084</t>
        </is>
      </c>
      <c r="B139" s="6" t="inlineStr">
        <is>
          <t>MYOB-00014084</t>
        </is>
      </c>
      <c r="C139" s="2" t="inlineStr">
        <is>
          <t>LOLLY STOP</t>
        </is>
      </c>
      <c r="D139" s="10" t="n">
        <v>45454</v>
      </c>
      <c r="E139" s="12" t="n"/>
      <c r="F139" s="2">
        <f>"Open AR: "&amp;A139</f>
        <v/>
      </c>
      <c r="G139" s="8" t="n">
        <v>48.96</v>
      </c>
      <c r="H139" s="3" t="n"/>
      <c r="I139" s="4">
        <f>F139</f>
        <v/>
      </c>
      <c r="J139" t="inlineStr">
        <is>
          <t>AUD</t>
        </is>
      </c>
      <c r="K139" t="inlineStr">
        <is>
          <t>Customer Invoices</t>
        </is>
      </c>
    </row>
    <row r="140">
      <c r="A140" s="16" t="inlineStr">
        <is>
          <t>00016810</t>
        </is>
      </c>
      <c r="B140" s="6" t="inlineStr">
        <is>
          <t>MYOB-00016810</t>
        </is>
      </c>
      <c r="C140" s="2" t="inlineStr">
        <is>
          <t>LOLLY STOP</t>
        </is>
      </c>
      <c r="D140" s="10" t="n">
        <v>46099</v>
      </c>
      <c r="E140" s="12" t="n"/>
      <c r="F140" s="2">
        <f>"Open AR: "&amp;A140</f>
        <v/>
      </c>
      <c r="G140" s="8" t="n">
        <v>48.96</v>
      </c>
      <c r="H140" s="3" t="n"/>
      <c r="I140" s="4">
        <f>F140</f>
        <v/>
      </c>
      <c r="J140" t="inlineStr">
        <is>
          <t>AUD</t>
        </is>
      </c>
      <c r="K140" t="inlineStr">
        <is>
          <t>Customer Invoices</t>
        </is>
      </c>
    </row>
    <row r="141">
      <c r="A141" s="16" t="inlineStr">
        <is>
          <t>00017526</t>
        </is>
      </c>
      <c r="B141" s="6" t="inlineStr">
        <is>
          <t>MYOB-00017526</t>
        </is>
      </c>
      <c r="C141" s="2" t="inlineStr">
        <is>
          <t>LOLLY STOP</t>
        </is>
      </c>
      <c r="D141" s="10" t="n">
        <v>46281</v>
      </c>
      <c r="E141" s="12" t="n"/>
      <c r="F141" s="2">
        <f>"Open AR: "&amp;A141</f>
        <v/>
      </c>
      <c r="G141" s="8" t="n">
        <v>277.48</v>
      </c>
      <c r="H141" s="3" t="n"/>
      <c r="I141" s="4">
        <f>F141</f>
        <v/>
      </c>
      <c r="J141" t="inlineStr">
        <is>
          <t>AUD</t>
        </is>
      </c>
      <c r="K141" t="inlineStr">
        <is>
          <t>Customer Invoices</t>
        </is>
      </c>
    </row>
    <row r="142">
      <c r="A142" s="16" t="inlineStr">
        <is>
          <t>00017503</t>
        </is>
      </c>
      <c r="B142" s="6" t="inlineStr">
        <is>
          <t>MYOB-00017503</t>
        </is>
      </c>
      <c r="C142" s="2" t="inlineStr">
        <is>
          <t>LOLLY WAREHOUSE</t>
        </is>
      </c>
      <c r="D142" s="10" t="n">
        <v>46276</v>
      </c>
      <c r="E142" s="12" t="n"/>
      <c r="F142" s="2">
        <f>"Open AR: "&amp;A142</f>
        <v/>
      </c>
      <c r="G142" s="8" t="n">
        <v>873.72</v>
      </c>
      <c r="H142" s="3" t="n"/>
      <c r="I142" s="4">
        <f>F142</f>
        <v/>
      </c>
      <c r="J142" t="inlineStr">
        <is>
          <t>AUD</t>
        </is>
      </c>
      <c r="K142" t="inlineStr">
        <is>
          <t>Customer Invoices</t>
        </is>
      </c>
    </row>
    <row r="143">
      <c r="A143" s="16" t="inlineStr">
        <is>
          <t>00017560</t>
        </is>
      </c>
      <c r="B143" s="6" t="inlineStr">
        <is>
          <t>MYOB-00017560</t>
        </is>
      </c>
      <c r="C143" s="2" t="inlineStr">
        <is>
          <t>LOTSA LOLLIES PTY LTD</t>
        </is>
      </c>
      <c r="D143" s="10" t="n">
        <v>46287</v>
      </c>
      <c r="E143" s="12" t="n"/>
      <c r="F143" s="2">
        <f>"Open AR: "&amp;A143</f>
        <v/>
      </c>
      <c r="G143" s="8" t="n">
        <v>838.96</v>
      </c>
      <c r="H143" s="3" t="n"/>
      <c r="I143" s="4">
        <f>F143</f>
        <v/>
      </c>
      <c r="J143" t="inlineStr">
        <is>
          <t>AUD</t>
        </is>
      </c>
      <c r="K143" t="inlineStr">
        <is>
          <t>Customer Invoices</t>
        </is>
      </c>
    </row>
    <row r="144">
      <c r="A144" s="16" t="inlineStr">
        <is>
          <t>00017518</t>
        </is>
      </c>
      <c r="B144" s="6" t="inlineStr">
        <is>
          <t>MYOB-00017518</t>
        </is>
      </c>
      <c r="C144" s="2" t="inlineStr">
        <is>
          <t>MARGARET RIVER SWEET SHOP (TIM)</t>
        </is>
      </c>
      <c r="D144" s="10" t="n">
        <v>46280</v>
      </c>
      <c r="E144" s="12" t="n"/>
      <c r="F144" s="2">
        <f>"Open AR: "&amp;A144</f>
        <v/>
      </c>
      <c r="G144" s="8" t="n">
        <v>2173.58</v>
      </c>
      <c r="H144" s="3" t="n"/>
      <c r="I144" s="4">
        <f>F144</f>
        <v/>
      </c>
      <c r="J144" t="inlineStr">
        <is>
          <t>AUD</t>
        </is>
      </c>
      <c r="K144" t="inlineStr">
        <is>
          <t>Customer Invoices</t>
        </is>
      </c>
    </row>
    <row r="145">
      <c r="A145" s="16" t="inlineStr">
        <is>
          <t>00017550</t>
        </is>
      </c>
      <c r="B145" s="6" t="inlineStr">
        <is>
          <t>MYOB-00017550</t>
        </is>
      </c>
      <c r="C145" s="2" t="inlineStr">
        <is>
          <t>MARGARET RIVER SWEET SHOP (TIM)</t>
        </is>
      </c>
      <c r="D145" s="10" t="n">
        <v>46286</v>
      </c>
      <c r="E145" s="12" t="n"/>
      <c r="F145" s="2">
        <f>"Open AR: "&amp;A145</f>
        <v/>
      </c>
      <c r="G145" s="8" t="n">
        <v>164.96</v>
      </c>
      <c r="H145" s="3" t="n"/>
      <c r="I145" s="4">
        <f>F145</f>
        <v/>
      </c>
      <c r="J145" t="inlineStr">
        <is>
          <t>AUD</t>
        </is>
      </c>
      <c r="K145" t="inlineStr">
        <is>
          <t>Customer Invoices</t>
        </is>
      </c>
    </row>
    <row r="146">
      <c r="A146" s="16" t="inlineStr">
        <is>
          <t>00015166</t>
        </is>
      </c>
      <c r="B146" s="6" t="inlineStr">
        <is>
          <t>MYOB-00015166</t>
        </is>
      </c>
      <c r="C146" s="2" t="inlineStr">
        <is>
          <t>MOONEYS IRISH SANDWICH BAR</t>
        </is>
      </c>
      <c r="D146" s="10" t="n">
        <v>45707</v>
      </c>
      <c r="E146" s="12" t="n"/>
      <c r="F146" s="2">
        <f>"Open AR: "&amp;A146</f>
        <v/>
      </c>
      <c r="G146" s="8" t="n">
        <v>504.9</v>
      </c>
      <c r="H146" s="3" t="n"/>
      <c r="I146" s="4">
        <f>F146</f>
        <v/>
      </c>
      <c r="J146" t="inlineStr">
        <is>
          <t>AUD</t>
        </is>
      </c>
      <c r="K146" t="inlineStr">
        <is>
          <t>Customer Invoices</t>
        </is>
      </c>
    </row>
    <row r="147">
      <c r="A147" s="16" t="inlineStr">
        <is>
          <t>00017364</t>
        </is>
      </c>
      <c r="B147" s="6" t="inlineStr">
        <is>
          <t>MYOB-00017364</t>
        </is>
      </c>
      <c r="C147" s="2" t="inlineStr">
        <is>
          <t>NORTHSIDE MEATS</t>
        </is>
      </c>
      <c r="D147" s="10" t="n">
        <v>46239</v>
      </c>
      <c r="E147" s="12" t="n"/>
      <c r="F147" s="2">
        <f>"Open AR: "&amp;A147</f>
        <v/>
      </c>
      <c r="G147" s="8" t="n">
        <v>3931.57</v>
      </c>
      <c r="H147" s="3" t="n"/>
      <c r="I147" s="4">
        <f>F147</f>
        <v/>
      </c>
      <c r="J147" t="inlineStr">
        <is>
          <t>AUD</t>
        </is>
      </c>
      <c r="K147" t="inlineStr">
        <is>
          <t>Customer Invoices</t>
        </is>
      </c>
    </row>
    <row r="148">
      <c r="A148" s="16" t="inlineStr">
        <is>
          <t>00017402</t>
        </is>
      </c>
      <c r="B148" s="6" t="inlineStr">
        <is>
          <t>MYOB-00017402</t>
        </is>
      </c>
      <c r="C148" s="2" t="inlineStr">
        <is>
          <t>NORTHSIDE MEATS</t>
        </is>
      </c>
      <c r="D148" s="10" t="n">
        <v>46246</v>
      </c>
      <c r="E148" s="12" t="n"/>
      <c r="F148" s="2">
        <f>"Open AR: "&amp;A148</f>
        <v/>
      </c>
      <c r="G148" s="8" t="n">
        <v>2800.87</v>
      </c>
      <c r="H148" s="3" t="n"/>
      <c r="I148" s="4">
        <f>F148</f>
        <v/>
      </c>
      <c r="J148" t="inlineStr">
        <is>
          <t>AUD</t>
        </is>
      </c>
      <c r="K148" t="inlineStr">
        <is>
          <t>Customer Invoices</t>
        </is>
      </c>
    </row>
    <row r="149">
      <c r="A149" s="16" t="inlineStr">
        <is>
          <t>00017433</t>
        </is>
      </c>
      <c r="B149" s="6" t="inlineStr">
        <is>
          <t>MYOB-00017433</t>
        </is>
      </c>
      <c r="C149" s="2" t="inlineStr">
        <is>
          <t>NORTHSIDE MEATS</t>
        </is>
      </c>
      <c r="D149" s="10" t="n">
        <v>46253</v>
      </c>
      <c r="E149" s="12" t="n"/>
      <c r="F149" s="2">
        <f>"Open AR: "&amp;A149</f>
        <v/>
      </c>
      <c r="G149" s="8" t="n">
        <v>2298.94</v>
      </c>
      <c r="H149" s="3" t="n"/>
      <c r="I149" s="4">
        <f>F149</f>
        <v/>
      </c>
      <c r="J149" t="inlineStr">
        <is>
          <t>AUD</t>
        </is>
      </c>
      <c r="K149" t="inlineStr">
        <is>
          <t>Customer Invoices</t>
        </is>
      </c>
    </row>
    <row r="150">
      <c r="A150" s="16" t="inlineStr">
        <is>
          <t>00017456</t>
        </is>
      </c>
      <c r="B150" s="6" t="inlineStr">
        <is>
          <t>MYOB-00017456</t>
        </is>
      </c>
      <c r="C150" s="2" t="inlineStr">
        <is>
          <t>NORTHSIDE MEATS</t>
        </is>
      </c>
      <c r="D150" s="10" t="n">
        <v>46260</v>
      </c>
      <c r="E150" s="12" t="n"/>
      <c r="F150" s="2">
        <f>"Open AR: "&amp;A150</f>
        <v/>
      </c>
      <c r="G150" s="8" t="n">
        <v>2457.48</v>
      </c>
      <c r="H150" s="3" t="n"/>
      <c r="I150" s="4">
        <f>F150</f>
        <v/>
      </c>
      <c r="J150" t="inlineStr">
        <is>
          <t>AUD</t>
        </is>
      </c>
      <c r="K150" t="inlineStr">
        <is>
          <t>Customer Invoices</t>
        </is>
      </c>
    </row>
    <row r="151">
      <c r="A151" s="16" t="inlineStr">
        <is>
          <t>00017461</t>
        </is>
      </c>
      <c r="B151" s="6" t="inlineStr">
        <is>
          <t>MYOB-00017461</t>
        </is>
      </c>
      <c r="C151" s="2" t="inlineStr">
        <is>
          <t>NORTHSIDE MEATS</t>
        </is>
      </c>
      <c r="D151" s="10" t="n">
        <v>46261</v>
      </c>
      <c r="E151" s="12" t="n"/>
      <c r="F151" s="2">
        <f>"Open AR: "&amp;A151</f>
        <v/>
      </c>
      <c r="G151" s="8" t="n">
        <v>5458.57</v>
      </c>
      <c r="H151" s="3" t="n"/>
      <c r="I151" s="4">
        <f>F151</f>
        <v/>
      </c>
      <c r="J151" t="inlineStr">
        <is>
          <t>AUD</t>
        </is>
      </c>
      <c r="K151" t="inlineStr">
        <is>
          <t>Customer Invoices</t>
        </is>
      </c>
    </row>
    <row r="152">
      <c r="A152" s="16" t="inlineStr">
        <is>
          <t>00017476</t>
        </is>
      </c>
      <c r="B152" s="6" t="inlineStr">
        <is>
          <t>MYOB-00017476</t>
        </is>
      </c>
      <c r="C152" s="2" t="inlineStr">
        <is>
          <t>NORTHSIDE MEATS</t>
        </is>
      </c>
      <c r="D152" s="10" t="n">
        <v>46267</v>
      </c>
      <c r="E152" s="12" t="n"/>
      <c r="F152" s="2">
        <f>"Open AR: "&amp;A152</f>
        <v/>
      </c>
      <c r="G152" s="8" t="n">
        <v>2042.82</v>
      </c>
      <c r="H152" s="3" t="n"/>
      <c r="I152" s="4">
        <f>F152</f>
        <v/>
      </c>
      <c r="J152" t="inlineStr">
        <is>
          <t>AUD</t>
        </is>
      </c>
      <c r="K152" t="inlineStr">
        <is>
          <t>Customer Invoices</t>
        </is>
      </c>
    </row>
    <row r="153">
      <c r="A153" s="16" t="inlineStr">
        <is>
          <t>00017505</t>
        </is>
      </c>
      <c r="B153" s="6" t="inlineStr">
        <is>
          <t>MYOB-00017505</t>
        </is>
      </c>
      <c r="C153" s="2" t="inlineStr">
        <is>
          <t>NORTHSIDE MEATS</t>
        </is>
      </c>
      <c r="D153" s="10" t="n">
        <v>46276</v>
      </c>
      <c r="E153" s="12" t="n"/>
      <c r="F153" s="2">
        <f>"Open AR: "&amp;A153</f>
        <v/>
      </c>
      <c r="G153" s="8" t="n">
        <v>4161.55</v>
      </c>
      <c r="H153" s="3" t="n"/>
      <c r="I153" s="4">
        <f>F153</f>
        <v/>
      </c>
      <c r="J153" t="inlineStr">
        <is>
          <t>AUD</t>
        </is>
      </c>
      <c r="K153" t="inlineStr">
        <is>
          <t>Customer Invoices</t>
        </is>
      </c>
    </row>
    <row r="154">
      <c r="A154" s="16" t="inlineStr">
        <is>
          <t>00017525</t>
        </is>
      </c>
      <c r="B154" s="6" t="inlineStr">
        <is>
          <t>MYOB-00017525</t>
        </is>
      </c>
      <c r="C154" s="2" t="inlineStr">
        <is>
          <t>NORTHSIDE MEATS</t>
        </is>
      </c>
      <c r="D154" s="10" t="n">
        <v>46281</v>
      </c>
      <c r="E154" s="12" t="n"/>
      <c r="F154" s="2">
        <f>"Open AR: "&amp;A154</f>
        <v/>
      </c>
      <c r="G154" s="8" t="n">
        <v>1786.08</v>
      </c>
      <c r="H154" s="3" t="n"/>
      <c r="I154" s="4">
        <f>F154</f>
        <v/>
      </c>
      <c r="J154" t="inlineStr">
        <is>
          <t>AUD</t>
        </is>
      </c>
      <c r="K154" t="inlineStr">
        <is>
          <t>Customer Invoices</t>
        </is>
      </c>
    </row>
    <row r="155">
      <c r="A155" s="16" t="inlineStr">
        <is>
          <t>00017565</t>
        </is>
      </c>
      <c r="B155" s="6" t="inlineStr">
        <is>
          <t>MYOB-00017565</t>
        </is>
      </c>
      <c r="C155" s="2" t="inlineStr">
        <is>
          <t>NORTHSIDE MEATS</t>
        </is>
      </c>
      <c r="D155" s="10" t="n">
        <v>46288</v>
      </c>
      <c r="E155" s="12" t="n"/>
      <c r="F155" s="2">
        <f>"Open AR: "&amp;A155</f>
        <v/>
      </c>
      <c r="G155" s="8" t="n">
        <v>2467.72</v>
      </c>
      <c r="H155" s="3" t="n"/>
      <c r="I155" s="4">
        <f>F155</f>
        <v/>
      </c>
      <c r="J155" t="inlineStr">
        <is>
          <t>AUD</t>
        </is>
      </c>
      <c r="K155" t="inlineStr">
        <is>
          <t>Customer Invoices</t>
        </is>
      </c>
    </row>
    <row r="156">
      <c r="A156" s="16" t="inlineStr">
        <is>
          <t>00017547</t>
        </is>
      </c>
      <c r="B156" s="6" t="inlineStr">
        <is>
          <t>MYOB-00017547</t>
        </is>
      </c>
      <c r="C156" s="2" t="inlineStr">
        <is>
          <t>OCEAN VIEW TAVERN</t>
        </is>
      </c>
      <c r="D156" s="10" t="n">
        <v>46286</v>
      </c>
      <c r="E156" s="12" t="n"/>
      <c r="F156" s="2">
        <f>"Open AR: "&amp;A156</f>
        <v/>
      </c>
      <c r="G156" s="8" t="n">
        <v>351.78</v>
      </c>
      <c r="H156" s="3" t="n"/>
      <c r="I156" s="4">
        <f>F156</f>
        <v/>
      </c>
      <c r="J156" t="inlineStr">
        <is>
          <t>AUD</t>
        </is>
      </c>
      <c r="K156" t="inlineStr">
        <is>
          <t>Customer Invoices</t>
        </is>
      </c>
    </row>
    <row r="157">
      <c r="A157" s="16" t="inlineStr">
        <is>
          <t>00017527</t>
        </is>
      </c>
      <c r="B157" s="6" t="inlineStr">
        <is>
          <t>MYOB-00017527</t>
        </is>
      </c>
      <c r="C157" s="2" t="inlineStr">
        <is>
          <t>PERTH HILLS CARAVAN PARK &amp; MARKET VILLAGE</t>
        </is>
      </c>
      <c r="D157" s="10" t="n">
        <v>46281</v>
      </c>
      <c r="E157" s="12" t="n"/>
      <c r="F157" s="2">
        <f>"Open AR: "&amp;A157</f>
        <v/>
      </c>
      <c r="G157" s="8" t="n">
        <v>513.98</v>
      </c>
      <c r="H157" s="3" t="n"/>
      <c r="I157" s="4">
        <f>F157</f>
        <v/>
      </c>
      <c r="J157" t="inlineStr">
        <is>
          <t>AUD</t>
        </is>
      </c>
      <c r="K157" t="inlineStr">
        <is>
          <t>Customer Invoices</t>
        </is>
      </c>
    </row>
    <row r="158">
      <c r="A158" s="16" t="inlineStr">
        <is>
          <t>00017481</t>
        </is>
      </c>
      <c r="B158" s="6" t="inlineStr">
        <is>
          <t>MYOB-00017481</t>
        </is>
      </c>
      <c r="C158" s="2" t="inlineStr">
        <is>
          <t>SWEET MEMORIES CANDY EMPORIUM (NEW OWNERS)</t>
        </is>
      </c>
      <c r="D158" s="10" t="n">
        <v>46274</v>
      </c>
      <c r="E158" s="12" t="n"/>
      <c r="F158" s="2">
        <f>"Open AR: "&amp;A158</f>
        <v/>
      </c>
      <c r="G158" s="8" t="n">
        <v>2955.28</v>
      </c>
      <c r="H158" s="3" t="n"/>
      <c r="I158" s="4">
        <f>F158</f>
        <v/>
      </c>
      <c r="J158" t="inlineStr">
        <is>
          <t>AUD</t>
        </is>
      </c>
      <c r="K158" t="inlineStr">
        <is>
          <t>Customer Invoices</t>
        </is>
      </c>
    </row>
    <row r="159">
      <c r="A159" s="16" t="inlineStr">
        <is>
          <t>00017469</t>
        </is>
      </c>
      <c r="B159" s="6" t="inlineStr">
        <is>
          <t>MYOB-00017469</t>
        </is>
      </c>
      <c r="C159" s="2" t="inlineStr">
        <is>
          <t>SWEET MEMORIES CANDY ON THE QUAY</t>
        </is>
      </c>
      <c r="D159" s="10" t="n">
        <v>46267</v>
      </c>
      <c r="E159" s="12" t="n"/>
      <c r="F159" s="2">
        <f>"Open AR: "&amp;A159</f>
        <v/>
      </c>
      <c r="G159" s="8" t="n">
        <v>1228.3</v>
      </c>
      <c r="H159" s="3" t="n"/>
      <c r="I159" s="4">
        <f>F159</f>
        <v/>
      </c>
      <c r="J159" t="inlineStr">
        <is>
          <t>AUD</t>
        </is>
      </c>
      <c r="K159" t="inlineStr">
        <is>
          <t>Customer Invoices</t>
        </is>
      </c>
    </row>
    <row r="160">
      <c r="A160" s="16" t="inlineStr">
        <is>
          <t>00017484</t>
        </is>
      </c>
      <c r="B160" s="6" t="inlineStr">
        <is>
          <t>MYOB-00017484</t>
        </is>
      </c>
      <c r="C160" s="2" t="inlineStr">
        <is>
          <t>SWEET MEMORIES CANDY ON THE QUAY</t>
        </is>
      </c>
      <c r="D160" s="10" t="n">
        <v>46274</v>
      </c>
      <c r="E160" s="12" t="n"/>
      <c r="F160" s="2">
        <f>"Open AR: "&amp;A160</f>
        <v/>
      </c>
      <c r="G160" s="8" t="n">
        <v>2824.49</v>
      </c>
      <c r="H160" s="3" t="n"/>
      <c r="I160" s="4">
        <f>F160</f>
        <v/>
      </c>
      <c r="J160" t="inlineStr">
        <is>
          <t>AUD</t>
        </is>
      </c>
      <c r="K160" t="inlineStr">
        <is>
          <t>Customer Invoices</t>
        </is>
      </c>
    </row>
    <row r="161">
      <c r="A161" s="16" t="inlineStr">
        <is>
          <t>00017539</t>
        </is>
      </c>
      <c r="B161" s="6" t="inlineStr">
        <is>
          <t>MYOB-00017539</t>
        </is>
      </c>
      <c r="C161" s="2" t="inlineStr">
        <is>
          <t>SWEET SUPRISES</t>
        </is>
      </c>
      <c r="D161" s="10" t="n">
        <v>46283</v>
      </c>
      <c r="E161" s="12" t="n"/>
      <c r="F161" s="2">
        <f>"Open AR: "&amp;A161</f>
        <v/>
      </c>
      <c r="G161" s="8" t="n">
        <v>5493.97</v>
      </c>
      <c r="H161" s="3" t="n"/>
      <c r="I161" s="4">
        <f>F161</f>
        <v/>
      </c>
      <c r="J161" t="inlineStr">
        <is>
          <t>AUD</t>
        </is>
      </c>
      <c r="K161" t="inlineStr">
        <is>
          <t>Customer Invoices</t>
        </is>
      </c>
    </row>
    <row r="162">
      <c r="A162" s="16" t="inlineStr">
        <is>
          <t>00017541</t>
        </is>
      </c>
      <c r="B162" s="6" t="inlineStr">
        <is>
          <t>MYOB-00017541</t>
        </is>
      </c>
      <c r="C162" s="2" t="inlineStr">
        <is>
          <t>SWEET SUPRISES</t>
        </is>
      </c>
      <c r="D162" s="10" t="n">
        <v>46283</v>
      </c>
      <c r="E162" s="12" t="n"/>
      <c r="F162" s="2">
        <f>"Open AR: "&amp;A162</f>
        <v/>
      </c>
      <c r="G162" s="8" t="n">
        <v>5300.37</v>
      </c>
      <c r="H162" s="3" t="n"/>
      <c r="I162" s="4">
        <f>F162</f>
        <v/>
      </c>
      <c r="J162" t="inlineStr">
        <is>
          <t>AUD</t>
        </is>
      </c>
      <c r="K162" t="inlineStr">
        <is>
          <t>Customer Invoices</t>
        </is>
      </c>
    </row>
    <row r="163">
      <c r="A163" s="16" t="inlineStr">
        <is>
          <t>00017542</t>
        </is>
      </c>
      <c r="B163" s="6" t="inlineStr">
        <is>
          <t>MYOB-00017542</t>
        </is>
      </c>
      <c r="C163" s="2" t="inlineStr">
        <is>
          <t>SWEET SUPRISES</t>
        </is>
      </c>
      <c r="D163" s="10" t="n">
        <v>46283</v>
      </c>
      <c r="E163" s="12" t="n"/>
      <c r="F163" s="2">
        <f>"Open AR: "&amp;A163</f>
        <v/>
      </c>
      <c r="G163" s="8" t="n">
        <v>1721.03</v>
      </c>
      <c r="H163" s="3" t="n"/>
      <c r="I163" s="4">
        <f>F163</f>
        <v/>
      </c>
      <c r="J163" t="inlineStr">
        <is>
          <t>AUD</t>
        </is>
      </c>
      <c r="K163" t="inlineStr">
        <is>
          <t>Customer Invoices</t>
        </is>
      </c>
    </row>
    <row r="164">
      <c r="A164" s="16" t="inlineStr">
        <is>
          <t>00017569</t>
        </is>
      </c>
      <c r="B164" s="6" t="inlineStr">
        <is>
          <t>MYOB-00017569</t>
        </is>
      </c>
      <c r="C164" s="2" t="inlineStr">
        <is>
          <t>SWEET TREATS ON THE TERRACE</t>
        </is>
      </c>
      <c r="D164" s="10" t="n">
        <v>46289</v>
      </c>
      <c r="E164" s="12" t="n"/>
      <c r="F164" s="2">
        <f>"Open AR: "&amp;A164</f>
        <v/>
      </c>
      <c r="G164" s="8" t="n">
        <v>1595.89</v>
      </c>
      <c r="H164" s="3" t="n"/>
      <c r="I164" s="4">
        <f>F164</f>
        <v/>
      </c>
      <c r="J164" t="inlineStr">
        <is>
          <t>AUD</t>
        </is>
      </c>
      <c r="K164" t="inlineStr">
        <is>
          <t>Customer Invoices</t>
        </is>
      </c>
    </row>
    <row r="165">
      <c r="A165" s="16" t="inlineStr">
        <is>
          <t>00000911</t>
        </is>
      </c>
      <c r="B165" s="6" t="inlineStr">
        <is>
          <t>MYOB-00000911</t>
        </is>
      </c>
      <c r="C165" s="2" t="inlineStr">
        <is>
          <t>THE BRITISH LOLLY SHOP (HV)</t>
        </is>
      </c>
      <c r="D165" s="10" t="n">
        <v>43047</v>
      </c>
      <c r="E165" s="12" t="n"/>
      <c r="F165" s="2">
        <f>"Open AR: "&amp;A165</f>
        <v/>
      </c>
      <c r="G165" s="8" t="n">
        <v>86.98</v>
      </c>
      <c r="H165" s="3" t="n"/>
      <c r="I165" s="4">
        <f>F165</f>
        <v/>
      </c>
      <c r="J165" t="inlineStr">
        <is>
          <t>AUD</t>
        </is>
      </c>
      <c r="K165" t="inlineStr">
        <is>
          <t>Customer Invoices</t>
        </is>
      </c>
    </row>
    <row r="166">
      <c r="A166" s="16" t="inlineStr">
        <is>
          <t>00017082</t>
        </is>
      </c>
      <c r="B166" s="6" t="inlineStr">
        <is>
          <t>MYOB-00017082</t>
        </is>
      </c>
      <c r="C166" s="2" t="inlineStr">
        <is>
          <t>THE BRITISH LOLLY SHOP (HV)</t>
        </is>
      </c>
      <c r="D166" s="10" t="n">
        <v>46169</v>
      </c>
      <c r="E166" s="12" t="n"/>
      <c r="F166" s="2">
        <f>"Open AR: "&amp;A166</f>
        <v/>
      </c>
      <c r="G166" s="8" t="n">
        <v>797.05</v>
      </c>
      <c r="H166" s="3" t="n"/>
      <c r="I166" s="4">
        <f>F166</f>
        <v/>
      </c>
      <c r="J166" t="inlineStr">
        <is>
          <t>AUD</t>
        </is>
      </c>
      <c r="K166" t="inlineStr">
        <is>
          <t>Customer Invoices</t>
        </is>
      </c>
    </row>
    <row r="167">
      <c r="A167" s="16" t="inlineStr">
        <is>
          <t>00017517</t>
        </is>
      </c>
      <c r="B167" s="6" t="inlineStr">
        <is>
          <t>MYOB-00017517</t>
        </is>
      </c>
      <c r="C167" s="2" t="inlineStr">
        <is>
          <t>THE BRITISH LOLLY SHOP (HV)</t>
        </is>
      </c>
      <c r="D167" s="10" t="n">
        <v>46280</v>
      </c>
      <c r="E167" s="12" t="n"/>
      <c r="F167" s="2">
        <f>"Open AR: "&amp;A167</f>
        <v/>
      </c>
      <c r="G167" s="8" t="n">
        <v>11116.98</v>
      </c>
      <c r="H167" s="3" t="n"/>
      <c r="I167" s="4">
        <f>F167</f>
        <v/>
      </c>
      <c r="J167" t="inlineStr">
        <is>
          <t>AUD</t>
        </is>
      </c>
      <c r="K167" t="inlineStr">
        <is>
          <t>Customer Invoices</t>
        </is>
      </c>
    </row>
    <row r="168">
      <c r="A168" s="16" t="inlineStr">
        <is>
          <t>00017549</t>
        </is>
      </c>
      <c r="B168" s="6" t="inlineStr">
        <is>
          <t>MYOB-00017549</t>
        </is>
      </c>
      <c r="C168" s="2" t="inlineStr">
        <is>
          <t>THE BRITISH LOLLY SHOP (HV)</t>
        </is>
      </c>
      <c r="D168" s="10" t="n">
        <v>46286</v>
      </c>
      <c r="E168" s="12" t="n"/>
      <c r="F168" s="2">
        <f>"Open AR: "&amp;A168</f>
        <v/>
      </c>
      <c r="G168" s="8" t="n">
        <v>989.1900000000001</v>
      </c>
      <c r="H168" s="3" t="n"/>
      <c r="I168" s="4">
        <f>F168</f>
        <v/>
      </c>
      <c r="J168" t="inlineStr">
        <is>
          <t>AUD</t>
        </is>
      </c>
      <c r="K168" t="inlineStr">
        <is>
          <t>Customer Invoices</t>
        </is>
      </c>
    </row>
    <row r="169">
      <c r="A169" s="16" t="inlineStr">
        <is>
          <t>00017181</t>
        </is>
      </c>
      <c r="B169" s="6" t="inlineStr">
        <is>
          <t>MYOB-00017181</t>
        </is>
      </c>
      <c r="C169" s="2" t="inlineStr">
        <is>
          <t>THE CANDY PARLOUR</t>
        </is>
      </c>
      <c r="D169" s="10" t="n">
        <v>46203</v>
      </c>
      <c r="E169" s="12" t="n"/>
      <c r="F169" s="2">
        <f>"Open AR: "&amp;A169</f>
        <v/>
      </c>
      <c r="G169" s="8" t="n">
        <v>1708.52</v>
      </c>
      <c r="H169" s="3" t="n"/>
      <c r="I169" s="4">
        <f>F169</f>
        <v/>
      </c>
      <c r="J169" t="inlineStr">
        <is>
          <t>AUD</t>
        </is>
      </c>
      <c r="K169" t="inlineStr">
        <is>
          <t>Customer Invoices</t>
        </is>
      </c>
    </row>
    <row r="170">
      <c r="A170" s="16" t="inlineStr">
        <is>
          <t>00017545</t>
        </is>
      </c>
      <c r="B170" s="6" t="inlineStr">
        <is>
          <t>MYOB-00017545</t>
        </is>
      </c>
      <c r="C170" s="2" t="inlineStr">
        <is>
          <t>THE CANDY PARLOUR</t>
        </is>
      </c>
      <c r="D170" s="10" t="n">
        <v>46286</v>
      </c>
      <c r="E170" s="12" t="n"/>
      <c r="F170" s="2">
        <f>"Open AR: "&amp;A170</f>
        <v/>
      </c>
      <c r="G170" s="8" t="n">
        <v>680.54</v>
      </c>
      <c r="H170" s="3" t="n"/>
      <c r="I170" s="4">
        <f>F170</f>
        <v/>
      </c>
      <c r="J170" t="inlineStr">
        <is>
          <t>AUD</t>
        </is>
      </c>
      <c r="K170" t="inlineStr">
        <is>
          <t>Customer Invoices</t>
        </is>
      </c>
    </row>
    <row r="171">
      <c r="A171" s="16" t="inlineStr">
        <is>
          <t>00015429</t>
        </is>
      </c>
      <c r="B171" s="6" t="inlineStr">
        <is>
          <t>MYOB-00015429</t>
        </is>
      </c>
      <c r="C171" s="2" t="inlineStr">
        <is>
          <t>THE DUKE BAR &amp; BISTRO/ WOODJACK PTY LTD</t>
        </is>
      </c>
      <c r="D171" s="10" t="n">
        <v>45796</v>
      </c>
      <c r="E171" s="12" t="n"/>
      <c r="F171" s="2">
        <f>"Open AR: "&amp;A171</f>
        <v/>
      </c>
      <c r="G171" s="8" t="n">
        <v>0.01</v>
      </c>
      <c r="H171" s="3" t="n"/>
      <c r="I171" s="4">
        <f>F171</f>
        <v/>
      </c>
      <c r="J171" t="inlineStr">
        <is>
          <t>AUD</t>
        </is>
      </c>
      <c r="K171" t="inlineStr">
        <is>
          <t>Customer Invoices</t>
        </is>
      </c>
    </row>
    <row r="172">
      <c r="A172" s="16" t="inlineStr">
        <is>
          <t>00017538</t>
        </is>
      </c>
      <c r="B172" s="6" t="inlineStr">
        <is>
          <t>MYOB-00017538</t>
        </is>
      </c>
      <c r="C172" s="2" t="inlineStr">
        <is>
          <t>THE LOLLY BUS</t>
        </is>
      </c>
      <c r="D172" s="10" t="n">
        <v>46282</v>
      </c>
      <c r="E172" s="12" t="n"/>
      <c r="F172" s="2">
        <f>"Open AR: "&amp;A172</f>
        <v/>
      </c>
      <c r="G172" s="8" t="n">
        <v>528.34</v>
      </c>
      <c r="H172" s="3" t="n"/>
      <c r="I172" s="4">
        <f>F172</f>
        <v/>
      </c>
      <c r="J172" t="inlineStr">
        <is>
          <t>AUD</t>
        </is>
      </c>
      <c r="K172" t="inlineStr">
        <is>
          <t>Customer Invoices</t>
        </is>
      </c>
    </row>
    <row r="173">
      <c r="A173" s="16" t="inlineStr">
        <is>
          <t>00017534</t>
        </is>
      </c>
      <c r="B173" s="6" t="inlineStr">
        <is>
          <t>MYOB-00017534</t>
        </is>
      </c>
      <c r="C173" s="2" t="inlineStr">
        <is>
          <t>THE PROFESSORS TASTY TECHNOLOGY</t>
        </is>
      </c>
      <c r="D173" s="10" t="n">
        <v>46281</v>
      </c>
      <c r="E173" s="12" t="n"/>
      <c r="F173" s="2">
        <f>"Open AR: "&amp;A173</f>
        <v/>
      </c>
      <c r="G173" s="8" t="n">
        <v>6905.72</v>
      </c>
      <c r="H173" s="3" t="n"/>
      <c r="I173" s="4">
        <f>F173</f>
        <v/>
      </c>
      <c r="J173" t="inlineStr">
        <is>
          <t>AUD</t>
        </is>
      </c>
      <c r="K173" t="inlineStr">
        <is>
          <t>Customer Invoices</t>
        </is>
      </c>
    </row>
    <row r="174">
      <c r="A174" s="16" t="inlineStr">
        <is>
          <t>00017551</t>
        </is>
      </c>
      <c r="B174" s="6" t="inlineStr">
        <is>
          <t>MYOB-00017551</t>
        </is>
      </c>
      <c r="C174" s="2" t="inlineStr">
        <is>
          <t>THE PROFESSORS TASTY TECHNOLOGY</t>
        </is>
      </c>
      <c r="D174" s="10" t="n">
        <v>46286</v>
      </c>
      <c r="E174" s="12" t="n"/>
      <c r="F174" s="2">
        <f>"Open AR: "&amp;A174</f>
        <v/>
      </c>
      <c r="G174" s="8" t="n">
        <v>337.22</v>
      </c>
      <c r="H174" s="3" t="n"/>
      <c r="I174" s="4">
        <f>F174</f>
        <v/>
      </c>
      <c r="J174" t="inlineStr">
        <is>
          <t>AUD</t>
        </is>
      </c>
      <c r="K174" t="inlineStr">
        <is>
          <t>Customer Invoices</t>
        </is>
      </c>
    </row>
    <row r="175">
      <c r="A175" s="16" t="inlineStr">
        <is>
          <t>00017499</t>
        </is>
      </c>
      <c r="B175" s="6" t="inlineStr">
        <is>
          <t>MYOB-00017499</t>
        </is>
      </c>
      <c r="C175" s="2" t="inlineStr">
        <is>
          <t>TOODYAY LOLLY SHOP</t>
        </is>
      </c>
      <c r="D175" s="10" t="n">
        <v>46275</v>
      </c>
      <c r="E175" s="12" t="n"/>
      <c r="F175" s="2">
        <f>"Open AR: "&amp;A175</f>
        <v/>
      </c>
      <c r="G175" s="8" t="n">
        <v>641.16</v>
      </c>
      <c r="H175" s="3" t="n"/>
      <c r="I175" s="4">
        <f>F175</f>
        <v/>
      </c>
      <c r="J175" t="inlineStr">
        <is>
          <t>AUD</t>
        </is>
      </c>
      <c r="K175" t="inlineStr">
        <is>
          <t>Customer Invoices</t>
        </is>
      </c>
    </row>
    <row r="176">
      <c r="A176" s="16" t="inlineStr">
        <is>
          <t>00014891</t>
        </is>
      </c>
      <c r="B176" s="6" t="inlineStr">
        <is>
          <t>MYOB-00014891</t>
        </is>
      </c>
      <c r="C176" s="2" t="inlineStr">
        <is>
          <t>UK FOODS DOWNUNDER</t>
        </is>
      </c>
      <c r="D176" s="10" t="n">
        <v>45631</v>
      </c>
      <c r="E176" s="12" t="n"/>
      <c r="F176" s="2">
        <f>"Open AR: "&amp;A176</f>
        <v/>
      </c>
      <c r="G176" s="8" t="n">
        <v>209.88</v>
      </c>
      <c r="H176" s="3" t="n"/>
      <c r="I176" s="4">
        <f>F176</f>
        <v/>
      </c>
      <c r="J176" t="inlineStr">
        <is>
          <t>AUD</t>
        </is>
      </c>
      <c r="K176" t="inlineStr">
        <is>
          <t>Customer Invoices</t>
        </is>
      </c>
    </row>
    <row r="177">
      <c r="A177" s="16" t="inlineStr">
        <is>
          <t>00017554</t>
        </is>
      </c>
      <c r="B177" s="6" t="inlineStr">
        <is>
          <t>MYOB-00017554</t>
        </is>
      </c>
      <c r="C177" s="2" t="inlineStr">
        <is>
          <t>UNITED QUICK STOP BROOME</t>
        </is>
      </c>
      <c r="D177" s="10" t="n">
        <v>46287</v>
      </c>
      <c r="E177" s="12" t="n"/>
      <c r="F177" s="2">
        <f>"Open AR: "&amp;A177</f>
        <v/>
      </c>
      <c r="G177" s="8" t="n">
        <v>585.2</v>
      </c>
      <c r="H177" s="3" t="n"/>
      <c r="I177" s="4">
        <f>F177</f>
        <v/>
      </c>
      <c r="J177" t="inlineStr">
        <is>
          <t>AUD</t>
        </is>
      </c>
      <c r="K177" t="inlineStr">
        <is>
          <t>Customer Invoices</t>
        </is>
      </c>
    </row>
    <row r="178">
      <c r="A178" s="16" t="inlineStr">
        <is>
          <t>00016703</t>
        </is>
      </c>
      <c r="B178" s="6" t="inlineStr">
        <is>
          <t>MYOB-00016703</t>
        </is>
      </c>
      <c r="C178" s="2" t="inlineStr">
        <is>
          <t>WEIGH N PAY</t>
        </is>
      </c>
      <c r="D178" s="10" t="n">
        <v>46072</v>
      </c>
      <c r="E178" s="12" t="n"/>
      <c r="F178" s="2">
        <f>"Open AR: "&amp;A178</f>
        <v/>
      </c>
      <c r="G178" s="8" t="n">
        <v>0.02</v>
      </c>
      <c r="H178" s="3" t="n"/>
      <c r="I178" s="4">
        <f>F178</f>
        <v/>
      </c>
      <c r="J178" t="inlineStr">
        <is>
          <t>AUD</t>
        </is>
      </c>
      <c r="K178" t="inlineStr">
        <is>
          <t>Customer Invoices</t>
        </is>
      </c>
    </row>
    <row r="179">
      <c r="A179" s="16" t="inlineStr">
        <is>
          <t>00017535</t>
        </is>
      </c>
      <c r="B179" s="6" t="inlineStr">
        <is>
          <t>MYOB-00017535</t>
        </is>
      </c>
      <c r="C179" s="2" t="inlineStr">
        <is>
          <t>WEIGH N PAY</t>
        </is>
      </c>
      <c r="D179" s="10" t="n">
        <v>46282</v>
      </c>
      <c r="E179" s="12" t="n"/>
      <c r="F179" s="2">
        <f>"Open AR: "&amp;A179</f>
        <v/>
      </c>
      <c r="G179" s="8" t="n">
        <v>292.04</v>
      </c>
      <c r="H179" s="3" t="n"/>
      <c r="I179" s="4">
        <f>F179</f>
        <v/>
      </c>
      <c r="J179" t="inlineStr">
        <is>
          <t>AUD</t>
        </is>
      </c>
      <c r="K179" t="inlineStr">
        <is>
          <t>Customer Invoices</t>
        </is>
      </c>
    </row>
  </sheetData>
  <autoFilter ref="A1:I144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4"/>
  <sheetViews>
    <sheetView topLeftCell="E1" zoomScale="115" zoomScaleNormal="115" workbookViewId="0">
      <selection activeCell="G5" sqref="G5"/>
    </sheetView>
  </sheetViews>
  <sheetFormatPr baseColWidth="8" defaultRowHeight="14.5"/>
  <cols>
    <col width="21.26953125" customWidth="1" min="1" max="1"/>
    <col width="41" customWidth="1" min="2" max="2"/>
    <col width="27.6328125" customWidth="1" min="3" max="3"/>
    <col width="23.7265625" customWidth="1" min="4" max="4"/>
    <col width="41" bestFit="1" customWidth="1" min="5" max="5"/>
    <col width="23.7265625" customWidth="1" min="6" max="6"/>
    <col width="33.26953125" customWidth="1" min="7" max="7"/>
    <col width="23.7265625" customWidth="1" min="8" max="9"/>
    <col width="18.08984375" customWidth="1" min="11" max="11"/>
  </cols>
  <sheetData>
    <row r="1">
      <c r="A1" s="15" t="inlineStr">
        <is>
          <t>Old System NUMBER</t>
        </is>
      </c>
      <c r="B1" s="5" t="inlineStr">
        <is>
          <t>Odoo Number</t>
        </is>
      </c>
      <c r="C1" s="15" t="inlineStr">
        <is>
          <t>Partner</t>
        </is>
      </c>
      <c r="D1" s="15" t="inlineStr">
        <is>
          <t>Invoice/Bill Date</t>
        </is>
      </c>
      <c r="E1" s="15" t="inlineStr">
        <is>
          <t>Due Date (only if 'Partner' has no PMT TERMS)</t>
        </is>
      </c>
      <c r="F1" s="1" t="inlineStr">
        <is>
          <t>Reference</t>
        </is>
      </c>
      <c r="G1" s="15" t="inlineStr">
        <is>
          <t>Invoice Lines / Unit Price</t>
        </is>
      </c>
      <c r="H1" s="1" t="inlineStr">
        <is>
          <t>Invoice Lines / Account</t>
        </is>
      </c>
      <c r="I1" s="1" t="inlineStr">
        <is>
          <t>Invoice Lines / Label</t>
        </is>
      </c>
      <c r="J1" s="1" t="inlineStr">
        <is>
          <t>Currency</t>
        </is>
      </c>
      <c r="K1" s="1" t="inlineStr">
        <is>
          <t>Journal</t>
        </is>
      </c>
    </row>
    <row r="2">
      <c r="A2" s="16" t="inlineStr">
        <is>
          <t>00017368</t>
        </is>
      </c>
      <c r="B2" s="6" t="inlineStr">
        <is>
          <t>MYOB-00017368</t>
        </is>
      </c>
      <c r="C2" s="2" t="inlineStr">
        <is>
          <t>CANDY ALLEY</t>
        </is>
      </c>
      <c r="D2" s="10" t="n">
        <v>46239</v>
      </c>
      <c r="E2" s="12" t="n"/>
      <c r="F2" s="2">
        <f>"Open AR: "&amp;A2</f>
        <v/>
      </c>
      <c r="G2" s="8" t="n">
        <v>43.59</v>
      </c>
      <c r="H2" s="3" t="n"/>
      <c r="I2" s="4">
        <f>F2</f>
        <v/>
      </c>
      <c r="J2" t="inlineStr">
        <is>
          <t>AUD</t>
        </is>
      </c>
      <c r="K2" t="inlineStr">
        <is>
          <t>Customer Invoices</t>
        </is>
      </c>
    </row>
    <row r="3">
      <c r="A3" s="16" t="inlineStr">
        <is>
          <t>00017400</t>
        </is>
      </c>
      <c r="B3" s="6" t="inlineStr">
        <is>
          <t>MYOB-00017400</t>
        </is>
      </c>
      <c r="C3" s="2" t="inlineStr">
        <is>
          <t>CANDY ALLEY</t>
        </is>
      </c>
      <c r="D3" s="10" t="n">
        <v>46246</v>
      </c>
      <c r="E3" s="12" t="n"/>
      <c r="F3" s="2">
        <f>"Open AR: "&amp;A3</f>
        <v/>
      </c>
      <c r="G3" s="8" t="n">
        <v>87.12</v>
      </c>
      <c r="H3" s="3" t="n"/>
      <c r="I3" s="4">
        <f>F3</f>
        <v/>
      </c>
      <c r="J3" t="inlineStr">
        <is>
          <t>AUD</t>
        </is>
      </c>
      <c r="K3" t="inlineStr">
        <is>
          <t>Customer Invoices</t>
        </is>
      </c>
    </row>
    <row r="4">
      <c r="A4" s="16" t="inlineStr">
        <is>
          <t>00014619</t>
        </is>
      </c>
      <c r="B4" s="6" t="inlineStr">
        <is>
          <t>MYOB-00014619</t>
        </is>
      </c>
      <c r="C4" s="2" t="inlineStr">
        <is>
          <t>CASH SALE</t>
        </is>
      </c>
      <c r="D4" s="10" t="n">
        <v>45565</v>
      </c>
      <c r="E4" s="12" t="n"/>
      <c r="F4" s="2">
        <f>"Open AR: "&amp;A4</f>
        <v/>
      </c>
      <c r="G4" s="8" t="n">
        <v>804.47</v>
      </c>
      <c r="H4" s="3" t="n"/>
      <c r="I4" s="4">
        <f>F4</f>
        <v/>
      </c>
      <c r="J4" t="inlineStr">
        <is>
          <t>AUD</t>
        </is>
      </c>
      <c r="K4" t="inlineStr">
        <is>
          <t>Customer Invoices</t>
        </is>
      </c>
    </row>
    <row r="5">
      <c r="A5" s="16" t="inlineStr">
        <is>
          <t>00014848</t>
        </is>
      </c>
      <c r="B5" s="6" t="inlineStr">
        <is>
          <t>MYOB-00014848</t>
        </is>
      </c>
      <c r="C5" s="2" t="inlineStr">
        <is>
          <t>FREMANTLE CANDY</t>
        </is>
      </c>
      <c r="D5" s="10" t="n">
        <v>45618</v>
      </c>
      <c r="E5" s="12" t="n"/>
      <c r="F5" s="2">
        <f>"Open AR: "&amp;A5</f>
        <v/>
      </c>
      <c r="G5" s="8" t="n">
        <v>92.06999999999999</v>
      </c>
      <c r="H5" s="3" t="n"/>
      <c r="I5" s="4">
        <f>F5</f>
        <v/>
      </c>
      <c r="J5" t="inlineStr">
        <is>
          <t>AUD</t>
        </is>
      </c>
      <c r="K5" t="inlineStr">
        <is>
          <t>Customer Invoices</t>
        </is>
      </c>
    </row>
    <row r="6">
      <c r="A6" s="16" t="inlineStr">
        <is>
          <t>00015201</t>
        </is>
      </c>
      <c r="B6" s="6" t="inlineStr">
        <is>
          <t>MYOB-00015201</t>
        </is>
      </c>
      <c r="C6" s="2" t="inlineStr">
        <is>
          <t>FREMANTLE CANDY</t>
        </is>
      </c>
      <c r="D6" s="10" t="n">
        <v>45715</v>
      </c>
      <c r="E6" s="12" t="n"/>
      <c r="F6" s="2">
        <f>"Open AR: "&amp;A6</f>
        <v/>
      </c>
      <c r="G6" s="8" t="n">
        <v>103.95</v>
      </c>
      <c r="H6" s="3" t="n"/>
      <c r="I6" s="4">
        <f>F6</f>
        <v/>
      </c>
      <c r="J6" t="inlineStr">
        <is>
          <t>AUD</t>
        </is>
      </c>
      <c r="K6" t="inlineStr">
        <is>
          <t>Customer Invoices</t>
        </is>
      </c>
    </row>
    <row r="7">
      <c r="A7" s="16" t="inlineStr">
        <is>
          <t>00017149</t>
        </is>
      </c>
      <c r="B7" s="6" t="inlineStr">
        <is>
          <t>MYOB-00017149</t>
        </is>
      </c>
      <c r="C7" s="2" t="inlineStr">
        <is>
          <t>FREMANTLE CANDY</t>
        </is>
      </c>
      <c r="D7" s="10" t="n">
        <v>46197</v>
      </c>
      <c r="E7" s="12" t="n"/>
      <c r="F7" s="2">
        <f>"Open AR: "&amp;A7</f>
        <v/>
      </c>
      <c r="G7" s="8" t="n">
        <v>14.09</v>
      </c>
      <c r="H7" s="3" t="n"/>
      <c r="I7" s="4">
        <f>F7</f>
        <v/>
      </c>
      <c r="J7" t="inlineStr">
        <is>
          <t>AUD</t>
        </is>
      </c>
      <c r="K7" t="inlineStr">
        <is>
          <t>Customer Invoices</t>
        </is>
      </c>
    </row>
    <row r="8">
      <c r="A8" s="16" t="inlineStr">
        <is>
          <t>00017198</t>
        </is>
      </c>
      <c r="B8" s="6" t="inlineStr">
        <is>
          <t>MYOB-00017198</t>
        </is>
      </c>
      <c r="C8" s="2" t="inlineStr">
        <is>
          <t>FREMANTLE CANDY</t>
        </is>
      </c>
      <c r="D8" s="10" t="n">
        <v>46204</v>
      </c>
      <c r="E8" s="12" t="n"/>
      <c r="F8" s="2">
        <f>"Open AR: "&amp;A8</f>
        <v/>
      </c>
      <c r="G8" s="8" t="n">
        <v>67.09</v>
      </c>
      <c r="H8" s="3" t="n"/>
      <c r="I8" s="4">
        <f>F8</f>
        <v/>
      </c>
      <c r="J8" t="inlineStr">
        <is>
          <t>AUD</t>
        </is>
      </c>
      <c r="K8" t="inlineStr">
        <is>
          <t>Customer Invoices</t>
        </is>
      </c>
    </row>
    <row r="9">
      <c r="A9" s="16" t="inlineStr">
        <is>
          <t>00017266</t>
        </is>
      </c>
      <c r="B9" s="6" t="inlineStr">
        <is>
          <t>MYOB-00017266</t>
        </is>
      </c>
      <c r="C9" s="2" t="inlineStr">
        <is>
          <t>FREMANTLE CANDY</t>
        </is>
      </c>
      <c r="D9" s="10" t="n">
        <v>46217</v>
      </c>
      <c r="E9" s="12" t="n"/>
      <c r="F9" s="2">
        <f>"Open AR: "&amp;A9</f>
        <v/>
      </c>
      <c r="G9" s="8" t="n">
        <v>138.01</v>
      </c>
      <c r="H9" s="3" t="n"/>
      <c r="I9" s="4">
        <f>F9</f>
        <v/>
      </c>
      <c r="J9" t="inlineStr">
        <is>
          <t>AUD</t>
        </is>
      </c>
      <c r="K9" t="inlineStr">
        <is>
          <t>Customer Invoices</t>
        </is>
      </c>
    </row>
    <row r="10">
      <c r="A10" s="16" t="inlineStr">
        <is>
          <t>00016541</t>
        </is>
      </c>
      <c r="B10" s="6" t="inlineStr">
        <is>
          <t>MYOB-00016541</t>
        </is>
      </c>
      <c r="C10" s="2" t="inlineStr">
        <is>
          <t>IGA ALKIMOS</t>
        </is>
      </c>
      <c r="D10" s="10" t="n">
        <v>46066</v>
      </c>
      <c r="E10" s="12" t="n"/>
      <c r="F10" s="2">
        <f>"Open AR: "&amp;A10</f>
        <v/>
      </c>
      <c r="G10" s="8" t="n">
        <v>67.20999999999999</v>
      </c>
      <c r="H10" s="3" t="n"/>
      <c r="I10" s="4">
        <f>F10</f>
        <v/>
      </c>
      <c r="J10" t="inlineStr">
        <is>
          <t>AUD</t>
        </is>
      </c>
      <c r="K10" t="inlineStr">
        <is>
          <t>Customer Invoices</t>
        </is>
      </c>
    </row>
    <row r="11">
      <c r="A11" s="16" t="inlineStr">
        <is>
          <t>00017064</t>
        </is>
      </c>
      <c r="B11" s="6" t="inlineStr">
        <is>
          <t>MYOB-00017064</t>
        </is>
      </c>
      <c r="C11" s="2" t="inlineStr">
        <is>
          <t>IGA ALKIMOS</t>
        </is>
      </c>
      <c r="D11" s="10" t="n">
        <v>46167</v>
      </c>
      <c r="E11" s="12" t="n"/>
      <c r="F11" s="2">
        <f>"Open AR: "&amp;A11</f>
        <v/>
      </c>
      <c r="G11" s="8" t="n">
        <v>648.65</v>
      </c>
      <c r="H11" s="3" t="n"/>
      <c r="I11" s="4">
        <f>F11</f>
        <v/>
      </c>
      <c r="J11" t="inlineStr">
        <is>
          <t>AUD</t>
        </is>
      </c>
      <c r="K11" t="inlineStr">
        <is>
          <t>Customer Invoices</t>
        </is>
      </c>
    </row>
    <row r="12">
      <c r="A12" s="16" t="inlineStr">
        <is>
          <t>00017162</t>
        </is>
      </c>
      <c r="B12" s="6" t="inlineStr">
        <is>
          <t>MYOB-00017162</t>
        </is>
      </c>
      <c r="C12" s="2" t="inlineStr">
        <is>
          <t>IGA ILUKA TUCKER FRESH</t>
        </is>
      </c>
      <c r="D12" s="10" t="n">
        <v>46199</v>
      </c>
      <c r="E12" s="12" t="n"/>
      <c r="F12" s="2">
        <f>"Open AR: "&amp;A12</f>
        <v/>
      </c>
      <c r="G12" s="8" t="n">
        <v>104.27</v>
      </c>
      <c r="H12" s="3" t="n"/>
      <c r="I12" s="4">
        <f>F12</f>
        <v/>
      </c>
      <c r="J12" t="inlineStr">
        <is>
          <t>AUD</t>
        </is>
      </c>
      <c r="K12" t="inlineStr">
        <is>
          <t>Customer Invoices</t>
        </is>
      </c>
    </row>
    <row r="13">
      <c r="A13" s="16" t="inlineStr">
        <is>
          <t>00017388</t>
        </is>
      </c>
      <c r="B13" s="6" t="inlineStr">
        <is>
          <t>MYOB-00017388</t>
        </is>
      </c>
      <c r="C13" s="2" t="inlineStr">
        <is>
          <t>IGA ILUKA TUCKER FRESH</t>
        </is>
      </c>
      <c r="D13" s="10" t="n">
        <v>46244</v>
      </c>
      <c r="E13" s="12" t="n"/>
      <c r="F13" s="2">
        <f>"Open AR: "&amp;A13</f>
        <v/>
      </c>
      <c r="G13" s="8" t="n">
        <v>40.19</v>
      </c>
      <c r="H13" s="3" t="n"/>
      <c r="I13" s="4">
        <f>F13</f>
        <v/>
      </c>
      <c r="J13" t="inlineStr">
        <is>
          <t>AUD</t>
        </is>
      </c>
      <c r="K13" t="inlineStr">
        <is>
          <t>Customer Invoices</t>
        </is>
      </c>
    </row>
    <row r="14">
      <c r="A14" s="16" t="inlineStr">
        <is>
          <t>00017540</t>
        </is>
      </c>
      <c r="B14" s="6" t="inlineStr">
        <is>
          <t>MYOB-00017540</t>
        </is>
      </c>
      <c r="C14" s="2" t="inlineStr">
        <is>
          <t>IGA KINROSS</t>
        </is>
      </c>
      <c r="D14" s="10" t="n">
        <v>46283</v>
      </c>
      <c r="E14" s="12" t="n"/>
      <c r="F14" s="2">
        <f>"Open AR: "&amp;A14</f>
        <v/>
      </c>
      <c r="G14" s="8" t="n">
        <v>182.5</v>
      </c>
      <c r="H14" s="3" t="n"/>
      <c r="I14" s="4">
        <f>F14</f>
        <v/>
      </c>
      <c r="J14" t="inlineStr">
        <is>
          <t>AUD</t>
        </is>
      </c>
      <c r="K14" t="inlineStr">
        <is>
          <t>Customer Invoices</t>
        </is>
      </c>
    </row>
    <row r="15">
      <c r="A15" s="16" t="inlineStr">
        <is>
          <t>00016545</t>
        </is>
      </c>
      <c r="B15" s="6" t="inlineStr">
        <is>
          <t>MYOB-00016545</t>
        </is>
      </c>
      <c r="C15" s="2" t="inlineStr">
        <is>
          <t>IGA MERRIWA</t>
        </is>
      </c>
      <c r="D15" s="10" t="n">
        <v>46035</v>
      </c>
      <c r="E15" s="12" t="n"/>
      <c r="F15" s="2">
        <f>"Open AR: "&amp;A15</f>
        <v/>
      </c>
      <c r="G15" s="8" t="n">
        <v>3.53</v>
      </c>
      <c r="H15" s="3" t="n"/>
      <c r="I15" s="4">
        <f>F15</f>
        <v/>
      </c>
      <c r="J15" t="inlineStr">
        <is>
          <t>AUD</t>
        </is>
      </c>
      <c r="K15" t="inlineStr">
        <is>
          <t>Customer Invoices</t>
        </is>
      </c>
    </row>
    <row r="16">
      <c r="A16" s="16" t="inlineStr">
        <is>
          <t>00017570</t>
        </is>
      </c>
      <c r="B16" s="6" t="inlineStr">
        <is>
          <t>MYOB-00017570</t>
        </is>
      </c>
      <c r="C16" s="2" t="inlineStr">
        <is>
          <t>IGA MORRIS FRESH</t>
        </is>
      </c>
      <c r="D16" s="10" t="n">
        <v>46289</v>
      </c>
      <c r="E16" s="12" t="n"/>
      <c r="F16" s="2">
        <f>"Open AR: "&amp;A16</f>
        <v/>
      </c>
      <c r="G16" s="8" t="n">
        <v>527.67</v>
      </c>
      <c r="H16" s="3" t="n"/>
      <c r="I16" s="4">
        <f>F16</f>
        <v/>
      </c>
      <c r="J16" t="inlineStr">
        <is>
          <t>AUD</t>
        </is>
      </c>
      <c r="K16" t="inlineStr">
        <is>
          <t>Customer Invoices</t>
        </is>
      </c>
    </row>
    <row r="17">
      <c r="A17" s="16" t="inlineStr">
        <is>
          <t>00008093</t>
        </is>
      </c>
      <c r="B17" s="6" t="inlineStr">
        <is>
          <t>MYOB-00008093</t>
        </is>
      </c>
      <c r="C17" s="2" t="inlineStr">
        <is>
          <t>IGA PARK HIVE</t>
        </is>
      </c>
      <c r="D17" s="10" t="n">
        <v>44124</v>
      </c>
      <c r="E17" s="12" t="n"/>
      <c r="F17" s="2">
        <f>"Open AR: "&amp;A17</f>
        <v/>
      </c>
      <c r="G17" s="8" t="n">
        <v>884.26</v>
      </c>
      <c r="H17" s="3" t="n"/>
      <c r="I17" s="4">
        <f>F17</f>
        <v/>
      </c>
      <c r="J17" t="inlineStr">
        <is>
          <t>AUD</t>
        </is>
      </c>
      <c r="K17" t="inlineStr">
        <is>
          <t>Customer Invoices</t>
        </is>
      </c>
    </row>
    <row r="18">
      <c r="A18" s="16" t="inlineStr">
        <is>
          <t>00016852</t>
        </is>
      </c>
      <c r="B18" s="6" t="inlineStr">
        <is>
          <t>MYOB-00016852</t>
        </is>
      </c>
      <c r="C18" s="2" t="inlineStr">
        <is>
          <t>IGA TREEBY TUCKER FRESH</t>
        </is>
      </c>
      <c r="D18" s="10" t="n">
        <v>46112</v>
      </c>
      <c r="E18" s="12" t="n"/>
      <c r="F18" s="2">
        <f>"Open AR: "&amp;A18</f>
        <v/>
      </c>
      <c r="G18" s="8" t="n">
        <v>0.06</v>
      </c>
      <c r="H18" s="3" t="n"/>
      <c r="I18" s="4">
        <f>F18</f>
        <v/>
      </c>
      <c r="J18" t="inlineStr">
        <is>
          <t>AUD</t>
        </is>
      </c>
      <c r="K18" t="inlineStr">
        <is>
          <t>Customer Invoices</t>
        </is>
      </c>
    </row>
    <row r="19">
      <c r="A19" s="16" t="inlineStr">
        <is>
          <t>00016710</t>
        </is>
      </c>
      <c r="B19" s="6" t="inlineStr">
        <is>
          <t>MYOB-00016710</t>
        </is>
      </c>
      <c r="C19" s="2" t="inlineStr">
        <is>
          <t>LOLLY STOP</t>
        </is>
      </c>
      <c r="D19" s="10" t="n">
        <v>46077</v>
      </c>
      <c r="E19" s="12" t="n"/>
      <c r="F19" s="2">
        <f>"Open AR: "&amp;A19</f>
        <v/>
      </c>
      <c r="G19" s="8" t="n">
        <v>61.38</v>
      </c>
      <c r="H19" s="3" t="n"/>
      <c r="I19" s="4">
        <f>F19</f>
        <v/>
      </c>
      <c r="J19" t="inlineStr">
        <is>
          <t>AUD</t>
        </is>
      </c>
      <c r="K19" t="inlineStr">
        <is>
          <t>Customer Invoices</t>
        </is>
      </c>
    </row>
    <row r="20">
      <c r="A20" s="16" t="inlineStr">
        <is>
          <t>00013988</t>
        </is>
      </c>
      <c r="B20" s="6" t="inlineStr">
        <is>
          <t>MYOB-00013988</t>
        </is>
      </c>
      <c r="C20" s="2" t="inlineStr">
        <is>
          <t>SOUTH BUNBURY MARKETPLACE</t>
        </is>
      </c>
      <c r="D20" s="10" t="n">
        <v>45428</v>
      </c>
      <c r="E20" s="12" t="n"/>
      <c r="F20" s="2">
        <f>"Open AR: "&amp;A20</f>
        <v/>
      </c>
      <c r="G20" s="8" t="n">
        <v>0.01</v>
      </c>
      <c r="H20" s="3" t="n"/>
      <c r="I20" s="4">
        <f>F20</f>
        <v/>
      </c>
      <c r="J20" t="inlineStr">
        <is>
          <t>AUD</t>
        </is>
      </c>
      <c r="K20" t="inlineStr">
        <is>
          <t>Customer Invoices</t>
        </is>
      </c>
    </row>
    <row r="21">
      <c r="A21" s="16" t="inlineStr">
        <is>
          <t>00015085</t>
        </is>
      </c>
      <c r="B21" s="6" t="inlineStr">
        <is>
          <t>MYOB-00015085</t>
        </is>
      </c>
      <c r="C21" s="2" t="inlineStr">
        <is>
          <t>SOUTH BUNBURY MARKETPLACE</t>
        </is>
      </c>
      <c r="D21" s="10" t="n">
        <v>45636</v>
      </c>
      <c r="E21" s="12" t="n"/>
      <c r="F21" s="2">
        <f>"Open AR: "&amp;A21</f>
        <v/>
      </c>
      <c r="G21" s="8" t="n">
        <v>59.33</v>
      </c>
      <c r="H21" s="3" t="n"/>
      <c r="I21" s="4">
        <f>F21</f>
        <v/>
      </c>
      <c r="J21" t="inlineStr">
        <is>
          <t>AUD</t>
        </is>
      </c>
      <c r="K21" t="inlineStr">
        <is>
          <t>Customer Invoices</t>
        </is>
      </c>
    </row>
    <row r="22">
      <c r="A22" s="16" t="inlineStr">
        <is>
          <t>00017489</t>
        </is>
      </c>
      <c r="B22" s="6" t="inlineStr">
        <is>
          <t>MYOB-00017489</t>
        </is>
      </c>
      <c r="C22" s="2" t="inlineStr">
        <is>
          <t>SWEET MEMORIES CANDY ON THE QUAY</t>
        </is>
      </c>
      <c r="D22" s="10" t="n">
        <v>46274</v>
      </c>
      <c r="E22" s="12" t="n"/>
      <c r="F22" s="2">
        <f>"Open AR: "&amp;A22</f>
        <v/>
      </c>
      <c r="G22" s="8" t="n">
        <v>23.27</v>
      </c>
      <c r="H22" s="3" t="n"/>
      <c r="I22" s="4">
        <f>F22</f>
        <v/>
      </c>
      <c r="J22" t="inlineStr">
        <is>
          <t>AUD</t>
        </is>
      </c>
      <c r="K22" t="inlineStr">
        <is>
          <t>Customer Invoices</t>
        </is>
      </c>
    </row>
    <row r="23">
      <c r="A23" s="16" t="inlineStr">
        <is>
          <t>00014585</t>
        </is>
      </c>
      <c r="B23" s="6" t="inlineStr">
        <is>
          <t>MYOB-00014585</t>
        </is>
      </c>
      <c r="C23" s="2" t="inlineStr">
        <is>
          <t>THE BRITISH LOLLY SHOP (HV)</t>
        </is>
      </c>
      <c r="D23" s="10" t="n">
        <v>45572</v>
      </c>
      <c r="E23" s="12" t="n"/>
      <c r="F23" s="2">
        <f>"Open AR: "&amp;A23</f>
        <v/>
      </c>
      <c r="G23" s="8" t="n">
        <v>53.41</v>
      </c>
      <c r="H23" s="3" t="n"/>
      <c r="I23" s="4">
        <f>F23</f>
        <v/>
      </c>
      <c r="J23" t="inlineStr">
        <is>
          <t>AUD</t>
        </is>
      </c>
      <c r="K23" t="inlineStr">
        <is>
          <t>Customer Invoices</t>
        </is>
      </c>
    </row>
    <row r="24">
      <c r="A24" s="16" t="inlineStr">
        <is>
          <t>00014077</t>
        </is>
      </c>
      <c r="B24" s="6" t="inlineStr">
        <is>
          <t>MYOB-00014077</t>
        </is>
      </c>
      <c r="C24" s="2" t="inlineStr">
        <is>
          <t>UK CENTRAL / JAGAL ENTERPRISES PTY LTD</t>
        </is>
      </c>
      <c r="D24" s="10" t="n">
        <v>45453</v>
      </c>
      <c r="E24" s="12" t="n"/>
      <c r="F24" s="2">
        <f>"Open AR: "&amp;A24</f>
        <v/>
      </c>
      <c r="G24" s="8" t="n">
        <v>9.949999999999999</v>
      </c>
      <c r="H24" s="3" t="n"/>
      <c r="I24" s="4">
        <f>F24</f>
        <v/>
      </c>
      <c r="J24" t="inlineStr">
        <is>
          <t>AUD</t>
        </is>
      </c>
      <c r="K24" t="inlineStr">
        <is>
          <t>Customer Invoices</t>
        </is>
      </c>
    </row>
    <row r="25">
      <c r="A25" s="7" t="n"/>
      <c r="B25" s="6" t="n"/>
      <c r="C25" s="2" t="n"/>
      <c r="D25" s="11" t="n"/>
      <c r="E25" s="12" t="n"/>
      <c r="F25" s="2" t="n"/>
      <c r="G25" s="9" t="n"/>
      <c r="H25" s="3" t="n"/>
      <c r="I25" s="4" t="n"/>
    </row>
    <row r="26">
      <c r="A26" s="7" t="n"/>
      <c r="B26" s="6" t="n"/>
      <c r="C26" s="2" t="n"/>
      <c r="D26" s="11" t="n"/>
      <c r="E26" s="12" t="n"/>
      <c r="F26" s="2" t="n"/>
      <c r="G26" s="9" t="n"/>
      <c r="H26" s="3" t="n"/>
      <c r="I26" s="4" t="n"/>
    </row>
    <row r="27">
      <c r="A27" s="7" t="n"/>
      <c r="B27" s="6" t="n"/>
      <c r="C27" s="2" t="n"/>
      <c r="D27" s="11" t="n"/>
      <c r="E27" s="12" t="n"/>
      <c r="F27" s="2" t="n"/>
      <c r="G27" s="9" t="n"/>
      <c r="H27" s="3" t="n"/>
      <c r="I27" s="4" t="n"/>
    </row>
    <row r="28">
      <c r="A28" s="7" t="n"/>
      <c r="B28" s="6" t="n"/>
      <c r="C28" s="2" t="n"/>
      <c r="D28" s="11" t="n"/>
      <c r="E28" s="12" t="n"/>
      <c r="F28" s="2" t="n"/>
      <c r="G28" s="9" t="n"/>
      <c r="H28" s="3" t="n"/>
      <c r="I28" s="4" t="n"/>
    </row>
    <row r="29">
      <c r="A29" s="7" t="n"/>
      <c r="B29" s="6" t="n"/>
      <c r="C29" s="2" t="n"/>
      <c r="D29" s="11" t="n"/>
      <c r="E29" s="12" t="n"/>
      <c r="F29" s="2" t="n"/>
      <c r="G29" s="9" t="n"/>
      <c r="H29" s="3" t="n"/>
      <c r="I29" s="4" t="n"/>
    </row>
    <row r="30">
      <c r="A30" s="7" t="n"/>
      <c r="B30" s="6" t="n"/>
      <c r="C30" s="2" t="n"/>
      <c r="D30" s="11" t="n"/>
      <c r="E30" s="12" t="n"/>
      <c r="F30" s="2" t="n"/>
      <c r="G30" s="9" t="n"/>
      <c r="H30" s="3" t="n"/>
      <c r="I30" s="4" t="n"/>
    </row>
    <row r="31">
      <c r="A31" s="7" t="n"/>
      <c r="B31" s="6" t="n"/>
      <c r="C31" s="2" t="n"/>
      <c r="D31" s="11" t="n"/>
      <c r="E31" s="12" t="n"/>
      <c r="F31" s="2" t="n"/>
      <c r="G31" s="9" t="n"/>
      <c r="H31" s="3" t="n"/>
      <c r="I31" s="4" t="n"/>
    </row>
    <row r="32">
      <c r="A32" s="7" t="n"/>
      <c r="B32" s="6" t="n"/>
      <c r="C32" s="2" t="n"/>
      <c r="D32" s="11" t="n"/>
      <c r="E32" s="12" t="n"/>
      <c r="F32" s="2" t="n"/>
      <c r="G32" s="9" t="n"/>
      <c r="H32" s="3" t="n"/>
      <c r="I32" s="4" t="n"/>
    </row>
    <row r="33">
      <c r="A33" s="7" t="n"/>
      <c r="B33" s="6" t="n"/>
      <c r="C33" s="2" t="n"/>
      <c r="D33" s="11" t="n"/>
      <c r="E33" s="12" t="n"/>
      <c r="F33" s="2" t="n"/>
      <c r="G33" s="9" t="n"/>
      <c r="H33" s="3" t="n"/>
      <c r="I33" s="4" t="n"/>
    </row>
    <row r="34">
      <c r="A34" s="7" t="n"/>
      <c r="B34" s="6" t="n"/>
      <c r="C34" s="2" t="n"/>
      <c r="D34" s="11" t="n"/>
      <c r="E34" s="12" t="n"/>
      <c r="F34" s="2" t="n"/>
      <c r="G34" s="9" t="n"/>
      <c r="H34" s="3" t="n"/>
      <c r="I34" s="4" t="n"/>
    </row>
    <row r="35">
      <c r="A35" s="7" t="n"/>
      <c r="B35" s="6" t="n"/>
      <c r="C35" s="2" t="n"/>
      <c r="D35" s="11" t="n"/>
      <c r="E35" s="12" t="n"/>
      <c r="F35" s="2" t="n"/>
      <c r="G35" s="9" t="n"/>
      <c r="H35" s="3" t="n"/>
      <c r="I35" s="4" t="n"/>
    </row>
    <row r="36">
      <c r="A36" s="7" t="n"/>
      <c r="B36" s="6" t="n"/>
      <c r="C36" s="2" t="n"/>
      <c r="D36" s="11" t="n"/>
      <c r="E36" s="12" t="n"/>
      <c r="F36" s="2" t="n"/>
      <c r="G36" s="9" t="n"/>
      <c r="H36" s="3" t="n"/>
      <c r="I36" s="4" t="n"/>
    </row>
    <row r="37">
      <c r="A37" s="7" t="n"/>
      <c r="B37" s="6" t="n"/>
      <c r="C37" s="2" t="n"/>
      <c r="D37" s="11" t="n"/>
      <c r="E37" s="12" t="n"/>
      <c r="F37" s="2" t="n"/>
      <c r="G37" s="9" t="n"/>
      <c r="H37" s="3" t="n"/>
      <c r="I37" s="4" t="n"/>
    </row>
    <row r="38">
      <c r="A38" s="7" t="n"/>
      <c r="B38" s="6" t="n"/>
      <c r="C38" s="2" t="n"/>
      <c r="D38" s="11" t="n"/>
      <c r="E38" s="12" t="n"/>
      <c r="F38" s="2" t="n"/>
      <c r="G38" s="9" t="n"/>
      <c r="H38" s="3" t="n"/>
      <c r="I38" s="4" t="n"/>
    </row>
    <row r="39">
      <c r="A39" s="7" t="n"/>
      <c r="B39" s="6" t="n"/>
      <c r="C39" s="2" t="n"/>
      <c r="D39" s="11" t="n"/>
      <c r="E39" s="12" t="n"/>
      <c r="F39" s="2" t="n"/>
      <c r="G39" s="9" t="n"/>
      <c r="H39" s="3" t="n"/>
      <c r="I39" s="4" t="n"/>
    </row>
    <row r="40">
      <c r="A40" s="7" t="n"/>
      <c r="B40" s="6" t="n"/>
      <c r="C40" s="2" t="n"/>
      <c r="D40" s="11" t="n"/>
      <c r="E40" s="12" t="n"/>
      <c r="F40" s="2" t="n"/>
      <c r="G40" s="9" t="n"/>
      <c r="H40" s="3" t="n"/>
      <c r="I40" s="4" t="n"/>
    </row>
    <row r="41">
      <c r="A41" s="7" t="n"/>
      <c r="B41" s="6" t="n"/>
      <c r="C41" s="2" t="n"/>
      <c r="D41" s="11" t="n"/>
      <c r="E41" s="12" t="n"/>
      <c r="F41" s="2" t="n"/>
      <c r="G41" s="9" t="n"/>
      <c r="H41" s="3" t="n"/>
      <c r="I41" s="4" t="n"/>
    </row>
    <row r="42">
      <c r="A42" s="7" t="n"/>
      <c r="B42" s="6" t="n"/>
      <c r="C42" s="2" t="n"/>
      <c r="D42" s="11" t="n"/>
      <c r="E42" s="12" t="n"/>
      <c r="F42" s="2" t="n"/>
      <c r="G42" s="9" t="n"/>
      <c r="H42" s="3" t="n"/>
      <c r="I42" s="4" t="n"/>
    </row>
    <row r="43">
      <c r="A43" s="7" t="n"/>
      <c r="B43" s="6" t="n"/>
      <c r="C43" s="2" t="n"/>
      <c r="D43" s="11" t="n"/>
      <c r="E43" s="12" t="n"/>
      <c r="F43" s="2" t="n"/>
      <c r="G43" s="9" t="n"/>
      <c r="H43" s="3" t="n"/>
      <c r="I43" s="4" t="n"/>
    </row>
    <row r="44">
      <c r="A44" s="7" t="n"/>
      <c r="B44" s="6" t="n"/>
      <c r="C44" s="2" t="n"/>
      <c r="D44" s="11" t="n"/>
      <c r="E44" s="12" t="n"/>
      <c r="F44" s="2" t="n"/>
      <c r="G44" s="9" t="n"/>
      <c r="H44" s="3" t="n"/>
      <c r="I44" s="4" t="n"/>
    </row>
    <row r="45">
      <c r="A45" s="7" t="n"/>
      <c r="B45" s="6" t="n"/>
      <c r="C45" s="2" t="n"/>
      <c r="D45" s="11" t="n"/>
      <c r="E45" s="12" t="n"/>
      <c r="F45" s="2" t="n"/>
      <c r="G45" s="9" t="n"/>
      <c r="H45" s="3" t="n"/>
      <c r="I45" s="4" t="n"/>
    </row>
    <row r="46">
      <c r="A46" s="7" t="n"/>
      <c r="B46" s="6" t="n"/>
      <c r="C46" s="2" t="n"/>
      <c r="D46" s="11" t="n"/>
      <c r="E46" s="12" t="n"/>
      <c r="F46" s="2" t="n"/>
      <c r="G46" s="9" t="n"/>
      <c r="H46" s="3" t="n"/>
      <c r="I46" s="4" t="n"/>
    </row>
    <row r="47">
      <c r="A47" s="7" t="n"/>
      <c r="B47" s="6" t="n"/>
      <c r="C47" s="2" t="n"/>
      <c r="D47" s="11" t="n"/>
      <c r="E47" s="12" t="n"/>
      <c r="F47" s="2" t="n"/>
      <c r="G47" s="9" t="n"/>
      <c r="H47" s="3" t="n"/>
      <c r="I47" s="4" t="n"/>
    </row>
    <row r="48">
      <c r="A48" s="7" t="n"/>
      <c r="B48" s="6" t="n"/>
      <c r="C48" s="2" t="n"/>
      <c r="D48" s="11" t="n"/>
      <c r="E48" s="12" t="n"/>
      <c r="F48" s="2" t="n"/>
      <c r="G48" s="9" t="n"/>
      <c r="H48" s="3" t="n"/>
      <c r="I48" s="4" t="n"/>
    </row>
    <row r="49">
      <c r="A49" s="7" t="n"/>
      <c r="B49" s="6" t="n"/>
      <c r="C49" s="2" t="n"/>
      <c r="D49" s="11" t="n"/>
      <c r="E49" s="12" t="n"/>
      <c r="F49" s="2" t="n"/>
      <c r="G49" s="9" t="n"/>
      <c r="H49" s="3" t="n"/>
      <c r="I49" s="4" t="n"/>
    </row>
    <row r="50">
      <c r="A50" s="7" t="n"/>
      <c r="B50" s="6" t="n"/>
      <c r="C50" s="2" t="n"/>
      <c r="D50" s="11" t="n"/>
      <c r="E50" s="12" t="n"/>
      <c r="F50" s="2" t="n"/>
      <c r="G50" s="9" t="n"/>
      <c r="H50" s="3" t="n"/>
      <c r="I50" s="4" t="n"/>
    </row>
    <row r="51">
      <c r="A51" s="7" t="n"/>
      <c r="B51" s="6" t="n"/>
      <c r="C51" s="2" t="n"/>
      <c r="D51" s="11" t="n"/>
      <c r="E51" s="12" t="n"/>
      <c r="F51" s="2" t="n"/>
      <c r="G51" s="9" t="n"/>
      <c r="H51" s="3" t="n"/>
      <c r="I51" s="4" t="n"/>
    </row>
    <row r="52">
      <c r="A52" s="7" t="n"/>
      <c r="B52" s="6" t="n"/>
      <c r="C52" s="2" t="n"/>
      <c r="D52" s="11" t="n"/>
      <c r="E52" s="12" t="n"/>
      <c r="F52" s="2" t="n"/>
      <c r="G52" s="9" t="n"/>
      <c r="H52" s="3" t="n"/>
      <c r="I52" s="4" t="n"/>
    </row>
    <row r="53">
      <c r="A53" s="7" t="n"/>
      <c r="B53" s="6" t="n"/>
      <c r="C53" s="2" t="n"/>
      <c r="D53" s="11" t="n"/>
      <c r="E53" s="12" t="n"/>
      <c r="F53" s="2" t="n"/>
      <c r="G53" s="9" t="n"/>
      <c r="H53" s="3" t="n"/>
      <c r="I53" s="4" t="n"/>
    </row>
    <row r="54">
      <c r="A54" s="7" t="n"/>
      <c r="B54" s="6" t="n"/>
      <c r="C54" s="2" t="n"/>
      <c r="D54" s="11" t="n"/>
      <c r="E54" s="12" t="n"/>
      <c r="F54" s="2" t="n"/>
      <c r="G54" s="9" t="n"/>
      <c r="H54" s="3" t="n"/>
      <c r="I54" s="4" t="n"/>
    </row>
    <row r="55">
      <c r="A55" s="7" t="n"/>
      <c r="B55" s="6" t="n"/>
      <c r="C55" s="2" t="n"/>
      <c r="D55" s="11" t="n"/>
      <c r="E55" s="12" t="n"/>
      <c r="F55" s="2" t="n"/>
      <c r="G55" s="9" t="n"/>
      <c r="H55" s="3" t="n"/>
      <c r="I55" s="4" t="n"/>
    </row>
    <row r="56">
      <c r="A56" s="7" t="n"/>
      <c r="B56" s="6" t="n"/>
      <c r="C56" s="2" t="n"/>
      <c r="D56" s="11" t="n"/>
      <c r="E56" s="12" t="n"/>
      <c r="F56" s="2" t="n"/>
      <c r="G56" s="9" t="n"/>
      <c r="H56" s="3" t="n"/>
      <c r="I56" s="4" t="n"/>
    </row>
    <row r="57">
      <c r="A57" s="7" t="n"/>
      <c r="B57" s="6" t="n"/>
      <c r="C57" s="2" t="n"/>
      <c r="D57" s="11" t="n"/>
      <c r="E57" s="12" t="n"/>
      <c r="F57" s="2" t="n"/>
      <c r="G57" s="9" t="n"/>
      <c r="H57" s="3" t="n"/>
      <c r="I57" s="4" t="n"/>
    </row>
    <row r="58">
      <c r="A58" s="7" t="n"/>
      <c r="B58" s="6" t="n"/>
      <c r="C58" s="2" t="n"/>
      <c r="D58" s="11" t="n"/>
      <c r="E58" s="12" t="n"/>
      <c r="F58" s="2" t="n"/>
      <c r="G58" s="9" t="n"/>
      <c r="H58" s="3" t="n"/>
      <c r="I58" s="4" t="n"/>
    </row>
    <row r="59">
      <c r="A59" s="7" t="n"/>
      <c r="B59" s="6" t="n"/>
      <c r="C59" s="2" t="n"/>
      <c r="D59" s="11" t="n"/>
      <c r="E59" s="12" t="n"/>
      <c r="F59" s="2" t="n"/>
      <c r="G59" s="9" t="n"/>
      <c r="H59" s="3" t="n"/>
      <c r="I59" s="4" t="n"/>
    </row>
    <row r="60">
      <c r="A60" s="7" t="n"/>
      <c r="B60" s="6" t="n"/>
      <c r="C60" s="2" t="n"/>
      <c r="D60" s="11" t="n"/>
      <c r="E60" s="12" t="n"/>
      <c r="F60" s="2" t="n"/>
      <c r="G60" s="9" t="n"/>
      <c r="H60" s="3" t="n"/>
      <c r="I60" s="4" t="n"/>
    </row>
    <row r="61">
      <c r="A61" s="7" t="n"/>
      <c r="B61" s="6" t="n"/>
      <c r="C61" s="2" t="n"/>
      <c r="D61" s="11" t="n"/>
      <c r="E61" s="12" t="n"/>
      <c r="F61" s="2" t="n"/>
      <c r="G61" s="9" t="n"/>
      <c r="H61" s="3" t="n"/>
      <c r="I61" s="4" t="n"/>
    </row>
    <row r="62">
      <c r="A62" s="7" t="n"/>
      <c r="B62" s="6" t="n"/>
      <c r="C62" s="2" t="n"/>
      <c r="D62" s="11" t="n"/>
      <c r="E62" s="12" t="n"/>
      <c r="F62" s="2" t="n"/>
      <c r="G62" s="9" t="n"/>
      <c r="H62" s="3" t="n"/>
      <c r="I62" s="4" t="n"/>
    </row>
    <row r="63">
      <c r="A63" s="7" t="n"/>
      <c r="B63" s="6" t="n"/>
      <c r="C63" s="2" t="n"/>
      <c r="D63" s="11" t="n"/>
      <c r="E63" s="12" t="n"/>
      <c r="F63" s="2" t="n"/>
      <c r="G63" s="9" t="n"/>
      <c r="H63" s="3" t="n"/>
      <c r="I63" s="4" t="n"/>
    </row>
    <row r="64">
      <c r="A64" s="7" t="n"/>
      <c r="B64" s="6" t="n"/>
      <c r="C64" s="2" t="n"/>
      <c r="D64" s="11" t="n"/>
      <c r="E64" s="12" t="n"/>
      <c r="F64" s="2" t="n"/>
      <c r="G64" s="9" t="n"/>
      <c r="H64" s="3" t="n"/>
      <c r="I64" s="4" t="n"/>
    </row>
    <row r="65">
      <c r="A65" s="7" t="n"/>
      <c r="B65" s="6" t="n"/>
      <c r="C65" s="2" t="n"/>
      <c r="D65" s="11" t="n"/>
      <c r="E65" s="12" t="n"/>
      <c r="F65" s="2" t="n"/>
      <c r="G65" s="9" t="n"/>
      <c r="H65" s="3" t="n"/>
      <c r="I65" s="4" t="n"/>
    </row>
    <row r="66">
      <c r="A66" s="7" t="n"/>
      <c r="B66" s="6" t="n"/>
      <c r="C66" s="2" t="n"/>
      <c r="D66" s="11" t="n"/>
      <c r="E66" s="12" t="n"/>
      <c r="F66" s="2" t="n"/>
      <c r="G66" s="9" t="n"/>
      <c r="H66" s="3" t="n"/>
      <c r="I66" s="4" t="n"/>
    </row>
    <row r="67">
      <c r="A67" s="7" t="n"/>
      <c r="B67" s="6" t="n"/>
      <c r="C67" s="2" t="n"/>
      <c r="D67" s="11" t="n"/>
      <c r="E67" s="12" t="n"/>
      <c r="F67" s="2" t="n"/>
      <c r="G67" s="9" t="n"/>
      <c r="H67" s="3" t="n"/>
      <c r="I67" s="4" t="n"/>
    </row>
    <row r="68">
      <c r="A68" s="7" t="n"/>
      <c r="B68" s="6" t="n"/>
      <c r="C68" s="2" t="n"/>
      <c r="D68" s="11" t="n"/>
      <c r="E68" s="12" t="n"/>
      <c r="F68" s="2" t="n"/>
      <c r="G68" s="9" t="n"/>
      <c r="H68" s="3" t="n"/>
      <c r="I68" s="4" t="n"/>
    </row>
    <row r="69">
      <c r="A69" s="7" t="n"/>
      <c r="B69" s="6" t="n"/>
      <c r="C69" s="2" t="n"/>
      <c r="D69" s="11" t="n"/>
      <c r="E69" s="12" t="n"/>
      <c r="F69" s="2" t="n"/>
      <c r="G69" s="9" t="n"/>
      <c r="H69" s="3" t="n"/>
      <c r="I69" s="4" t="n"/>
    </row>
    <row r="70">
      <c r="A70" s="7" t="n"/>
      <c r="B70" s="6" t="n"/>
      <c r="C70" s="2" t="n"/>
      <c r="D70" s="11" t="n"/>
      <c r="E70" s="12" t="n"/>
      <c r="F70" s="2" t="n"/>
      <c r="G70" s="9" t="n"/>
      <c r="H70" s="3" t="n"/>
      <c r="I70" s="4" t="n"/>
    </row>
    <row r="71">
      <c r="A71" s="7" t="n"/>
      <c r="B71" s="6" t="n"/>
      <c r="C71" s="2" t="n"/>
      <c r="D71" s="11" t="n"/>
      <c r="E71" s="12" t="n"/>
      <c r="F71" s="2" t="n"/>
      <c r="G71" s="9" t="n"/>
      <c r="H71" s="3" t="n"/>
      <c r="I71" s="4" t="n"/>
    </row>
    <row r="72">
      <c r="A72" s="7" t="n"/>
      <c r="B72" s="6" t="n"/>
      <c r="C72" s="2" t="n"/>
      <c r="D72" s="11" t="n"/>
      <c r="E72" s="12" t="n"/>
      <c r="F72" s="2" t="n"/>
      <c r="G72" s="9" t="n"/>
      <c r="H72" s="3" t="n"/>
      <c r="I72" s="4" t="n"/>
    </row>
    <row r="73">
      <c r="A73" s="7" t="n"/>
      <c r="B73" s="6" t="n"/>
      <c r="C73" s="2" t="n"/>
      <c r="D73" s="11" t="n"/>
      <c r="E73" s="12" t="n"/>
      <c r="F73" s="2" t="n"/>
      <c r="G73" s="9" t="n"/>
      <c r="H73" s="3" t="n"/>
      <c r="I73" s="4" t="n"/>
    </row>
    <row r="74">
      <c r="A74" s="7" t="n"/>
      <c r="B74" s="6" t="n"/>
      <c r="C74" s="2" t="n"/>
      <c r="D74" s="11" t="n"/>
      <c r="E74" s="12" t="n"/>
      <c r="F74" s="2" t="n"/>
      <c r="G74" s="9" t="n"/>
      <c r="H74" s="3" t="n"/>
      <c r="I74" s="4" t="n"/>
    </row>
    <row r="75">
      <c r="A75" s="7" t="n"/>
      <c r="B75" s="6" t="n"/>
      <c r="C75" s="2" t="n"/>
      <c r="D75" s="11" t="n"/>
      <c r="E75" s="12" t="n"/>
      <c r="F75" s="2" t="n"/>
      <c r="G75" s="9" t="n"/>
      <c r="H75" s="3" t="n"/>
      <c r="I75" s="4" t="n"/>
    </row>
    <row r="76">
      <c r="A76" s="7" t="n"/>
      <c r="B76" s="6" t="n"/>
      <c r="C76" s="2" t="n"/>
      <c r="D76" s="11" t="n"/>
      <c r="E76" s="12" t="n"/>
      <c r="F76" s="2" t="n"/>
      <c r="G76" s="9" t="n"/>
      <c r="H76" s="3" t="n"/>
      <c r="I76" s="4" t="n"/>
    </row>
    <row r="77">
      <c r="A77" s="7" t="n"/>
      <c r="B77" s="6" t="n"/>
      <c r="C77" s="2" t="n"/>
      <c r="D77" s="11" t="n"/>
      <c r="E77" s="12" t="n"/>
      <c r="F77" s="2" t="n"/>
      <c r="G77" s="9" t="n"/>
      <c r="H77" s="3" t="n"/>
      <c r="I77" s="4" t="n"/>
    </row>
    <row r="78">
      <c r="A78" s="7" t="n"/>
      <c r="B78" s="6" t="n"/>
      <c r="C78" s="2" t="n"/>
      <c r="D78" s="11" t="n"/>
      <c r="E78" s="12" t="n"/>
      <c r="F78" s="2" t="n"/>
      <c r="G78" s="9" t="n"/>
      <c r="H78" s="3" t="n"/>
      <c r="I78" s="4" t="n"/>
    </row>
    <row r="79">
      <c r="A79" s="7" t="n"/>
      <c r="B79" s="6" t="n"/>
      <c r="C79" s="2" t="n"/>
      <c r="D79" s="11" t="n"/>
      <c r="E79" s="12" t="n"/>
      <c r="F79" s="2" t="n"/>
      <c r="G79" s="9" t="n"/>
      <c r="H79" s="3" t="n"/>
      <c r="I79" s="4" t="n"/>
    </row>
    <row r="80">
      <c r="A80" s="7" t="n"/>
      <c r="B80" s="6" t="n"/>
      <c r="C80" s="2" t="n"/>
      <c r="D80" s="11" t="n"/>
      <c r="E80" s="12" t="n"/>
      <c r="F80" s="2" t="n"/>
      <c r="G80" s="9" t="n"/>
      <c r="H80" s="3" t="n"/>
      <c r="I80" s="4" t="n"/>
    </row>
    <row r="81">
      <c r="A81" s="7" t="n"/>
      <c r="B81" s="6" t="n"/>
      <c r="C81" s="2" t="n"/>
      <c r="D81" s="11" t="n"/>
      <c r="E81" s="12" t="n"/>
      <c r="F81" s="2" t="n"/>
      <c r="G81" s="9" t="n"/>
      <c r="H81" s="3" t="n"/>
      <c r="I81" s="4" t="n"/>
    </row>
    <row r="82">
      <c r="A82" s="7" t="n"/>
      <c r="B82" s="6" t="n"/>
      <c r="C82" s="2" t="n"/>
      <c r="D82" s="11" t="n"/>
      <c r="E82" s="12" t="n"/>
      <c r="F82" s="2" t="n"/>
      <c r="G82" s="9" t="n"/>
      <c r="H82" s="3" t="n"/>
      <c r="I82" s="4" t="n"/>
    </row>
    <row r="83">
      <c r="A83" s="7" t="n"/>
      <c r="B83" s="6" t="n"/>
      <c r="C83" s="2" t="n"/>
      <c r="D83" s="11" t="n"/>
      <c r="E83" s="12" t="n"/>
      <c r="F83" s="2" t="n"/>
      <c r="G83" s="9" t="n"/>
      <c r="H83" s="3" t="n"/>
      <c r="I83" s="4" t="n"/>
    </row>
    <row r="84">
      <c r="A84" s="7" t="n"/>
      <c r="B84" s="6" t="n"/>
      <c r="C84" s="2" t="n"/>
      <c r="D84" s="11" t="n"/>
      <c r="E84" s="12" t="n"/>
      <c r="F84" s="2" t="n"/>
      <c r="G84" s="9" t="n"/>
      <c r="H84" s="3" t="n"/>
      <c r="I84" s="4" t="n"/>
    </row>
    <row r="85">
      <c r="A85" s="7" t="n"/>
      <c r="B85" s="6" t="n"/>
      <c r="C85" s="2" t="n"/>
      <c r="D85" s="11" t="n"/>
      <c r="E85" s="12" t="n"/>
      <c r="F85" s="2" t="n"/>
      <c r="G85" s="9" t="n"/>
      <c r="H85" s="3" t="n"/>
      <c r="I85" s="4" t="n"/>
    </row>
    <row r="86">
      <c r="A86" s="7" t="n"/>
      <c r="B86" s="6" t="n"/>
      <c r="C86" s="2" t="n"/>
      <c r="D86" s="11" t="n"/>
      <c r="E86" s="12" t="n"/>
      <c r="F86" s="2" t="n"/>
      <c r="G86" s="9" t="n"/>
      <c r="H86" s="3" t="n"/>
      <c r="I86" s="4" t="n"/>
    </row>
    <row r="87">
      <c r="A87" s="7" t="n"/>
      <c r="B87" s="6" t="n"/>
      <c r="C87" s="2" t="n"/>
      <c r="D87" s="11" t="n"/>
      <c r="E87" s="12" t="n"/>
      <c r="F87" s="2" t="n"/>
      <c r="G87" s="9" t="n"/>
      <c r="H87" s="3" t="n"/>
      <c r="I87" s="4" t="n"/>
    </row>
    <row r="88">
      <c r="A88" s="7" t="n"/>
      <c r="B88" s="6" t="n"/>
      <c r="C88" s="2" t="n"/>
      <c r="D88" s="11" t="n"/>
      <c r="E88" s="12" t="n"/>
      <c r="F88" s="2" t="n"/>
      <c r="G88" s="9" t="n"/>
      <c r="H88" s="3" t="n"/>
      <c r="I88" s="4" t="n"/>
    </row>
    <row r="89">
      <c r="A89" s="7" t="n"/>
      <c r="B89" s="6" t="n"/>
      <c r="C89" s="2" t="n"/>
      <c r="D89" s="11" t="n"/>
      <c r="E89" s="12" t="n"/>
      <c r="F89" s="2" t="n"/>
      <c r="G89" s="9" t="n"/>
      <c r="H89" s="3" t="n"/>
      <c r="I89" s="4" t="n"/>
    </row>
    <row r="90">
      <c r="A90" s="7" t="n"/>
      <c r="B90" s="6" t="n"/>
      <c r="C90" s="2" t="n"/>
      <c r="D90" s="11" t="n"/>
      <c r="E90" s="12" t="n"/>
      <c r="F90" s="2" t="n"/>
      <c r="G90" s="9" t="n"/>
      <c r="H90" s="3" t="n"/>
      <c r="I90" s="4" t="n"/>
    </row>
    <row r="91">
      <c r="A91" s="7" t="n"/>
      <c r="B91" s="6" t="n"/>
      <c r="C91" s="2" t="n"/>
      <c r="D91" s="11" t="n"/>
      <c r="E91" s="12" t="n"/>
      <c r="F91" s="2" t="n"/>
      <c r="G91" s="9" t="n"/>
      <c r="H91" s="3" t="n"/>
      <c r="I91" s="4" t="n"/>
    </row>
    <row r="92">
      <c r="A92" s="7" t="n"/>
      <c r="B92" s="6" t="n"/>
      <c r="C92" s="2" t="n"/>
      <c r="D92" s="11" t="n"/>
      <c r="E92" s="12" t="n"/>
      <c r="F92" s="2" t="n"/>
      <c r="G92" s="9" t="n"/>
      <c r="H92" s="3" t="n"/>
      <c r="I92" s="4" t="n"/>
    </row>
    <row r="93">
      <c r="A93" s="7" t="n"/>
      <c r="B93" s="6" t="n"/>
      <c r="C93" s="2" t="n"/>
      <c r="D93" s="11" t="n"/>
      <c r="E93" s="12" t="n"/>
      <c r="F93" s="2" t="n"/>
      <c r="G93" s="9" t="n"/>
      <c r="H93" s="3" t="n"/>
      <c r="I93" s="4" t="n"/>
    </row>
    <row r="94">
      <c r="A94" s="7" t="n"/>
      <c r="B94" s="6" t="n"/>
      <c r="C94" s="2" t="n"/>
      <c r="D94" s="11" t="n"/>
      <c r="E94" s="12" t="n"/>
      <c r="F94" s="2" t="n"/>
      <c r="G94" s="9" t="n"/>
      <c r="H94" s="3" t="n"/>
      <c r="I94" s="4" t="n"/>
    </row>
    <row r="95">
      <c r="A95" s="7" t="n"/>
      <c r="B95" s="6" t="n"/>
      <c r="C95" s="2" t="n"/>
      <c r="D95" s="11" t="n"/>
      <c r="E95" s="12" t="n"/>
      <c r="F95" s="2" t="n"/>
      <c r="G95" s="9" t="n"/>
      <c r="H95" s="3" t="n"/>
      <c r="I95" s="4" t="n"/>
    </row>
    <row r="96">
      <c r="A96" s="7" t="n"/>
      <c r="B96" s="6" t="n"/>
      <c r="C96" s="2" t="n"/>
      <c r="D96" s="11" t="n"/>
      <c r="E96" s="12" t="n"/>
      <c r="F96" s="2" t="n"/>
      <c r="G96" s="9" t="n"/>
      <c r="H96" s="3" t="n"/>
      <c r="I96" s="4" t="n"/>
    </row>
    <row r="97">
      <c r="A97" s="7" t="n"/>
      <c r="B97" s="6" t="n"/>
      <c r="C97" s="2" t="n"/>
      <c r="D97" s="11" t="n"/>
      <c r="E97" s="12" t="n"/>
      <c r="F97" s="2" t="n"/>
      <c r="G97" s="9" t="n"/>
      <c r="H97" s="3" t="n"/>
      <c r="I97" s="4" t="n"/>
    </row>
    <row r="98">
      <c r="A98" s="7" t="n"/>
      <c r="B98" s="6" t="n"/>
      <c r="C98" s="2" t="n"/>
      <c r="D98" s="11" t="n"/>
      <c r="E98" s="12" t="n"/>
      <c r="F98" s="2" t="n"/>
      <c r="G98" s="9" t="n"/>
      <c r="H98" s="3" t="n"/>
      <c r="I98" s="4" t="n"/>
    </row>
    <row r="99">
      <c r="A99" s="7" t="n"/>
      <c r="B99" s="6" t="n"/>
      <c r="C99" s="2" t="n"/>
      <c r="D99" s="11" t="n"/>
      <c r="E99" s="12" t="n"/>
      <c r="F99" s="2" t="n"/>
      <c r="G99" s="9" t="n"/>
      <c r="H99" s="3" t="n"/>
      <c r="I99" s="4" t="n"/>
    </row>
    <row r="100">
      <c r="A100" s="7" t="n"/>
      <c r="B100" s="6" t="n"/>
      <c r="C100" s="2" t="n"/>
      <c r="D100" s="11" t="n"/>
      <c r="E100" s="12" t="n"/>
      <c r="F100" s="2" t="n"/>
      <c r="G100" s="9" t="n"/>
      <c r="H100" s="3" t="n"/>
      <c r="I100" s="4" t="n"/>
    </row>
    <row r="101">
      <c r="A101" s="7" t="n"/>
      <c r="B101" s="6" t="n"/>
      <c r="C101" s="2" t="n"/>
      <c r="D101" s="11" t="n"/>
      <c r="E101" s="12" t="n"/>
      <c r="F101" s="2" t="n"/>
      <c r="G101" s="9" t="n"/>
      <c r="H101" s="3" t="n"/>
      <c r="I101" s="4" t="n"/>
    </row>
    <row r="102">
      <c r="A102" s="7" t="n"/>
      <c r="B102" s="6" t="n"/>
      <c r="C102" s="2" t="n"/>
      <c r="D102" s="11" t="n"/>
      <c r="E102" s="12" t="n"/>
      <c r="F102" s="2" t="n"/>
      <c r="G102" s="9" t="n"/>
      <c r="H102" s="3" t="n"/>
      <c r="I102" s="4" t="n"/>
    </row>
    <row r="103">
      <c r="A103" s="7" t="n"/>
      <c r="B103" s="6" t="n"/>
      <c r="C103" s="2" t="n"/>
      <c r="D103" s="11" t="n"/>
      <c r="E103" s="12" t="n"/>
      <c r="F103" s="2" t="n"/>
      <c r="G103" s="9" t="n"/>
      <c r="H103" s="3" t="n"/>
      <c r="I103" s="4" t="n"/>
    </row>
    <row r="104">
      <c r="A104" s="7" t="n"/>
      <c r="B104" s="6" t="n"/>
      <c r="C104" s="2" t="n"/>
      <c r="D104" s="11" t="n"/>
      <c r="E104" s="12" t="n"/>
      <c r="F104" s="2" t="n"/>
      <c r="G104" s="9" t="n"/>
      <c r="H104" s="3" t="n"/>
      <c r="I104" s="4" t="n"/>
    </row>
    <row r="105">
      <c r="A105" s="7" t="n"/>
      <c r="B105" s="6" t="n"/>
      <c r="C105" s="2" t="n"/>
      <c r="D105" s="11" t="n"/>
      <c r="E105" s="12" t="n"/>
      <c r="F105" s="2" t="n"/>
      <c r="G105" s="9" t="n"/>
      <c r="H105" s="3" t="n"/>
      <c r="I105" s="4" t="n"/>
    </row>
    <row r="106">
      <c r="A106" s="7" t="n"/>
      <c r="B106" s="6" t="n"/>
      <c r="C106" s="2" t="n"/>
      <c r="D106" s="11" t="n"/>
      <c r="E106" s="12" t="n"/>
      <c r="F106" s="2" t="n"/>
      <c r="G106" s="9" t="n"/>
      <c r="H106" s="3" t="n"/>
      <c r="I106" s="4" t="n"/>
    </row>
    <row r="107">
      <c r="A107" s="7" t="n"/>
      <c r="B107" s="6" t="n"/>
      <c r="C107" s="2" t="n"/>
      <c r="D107" s="11" t="n"/>
      <c r="E107" s="12" t="n"/>
      <c r="F107" s="2" t="n"/>
      <c r="G107" s="9" t="n"/>
      <c r="H107" s="3" t="n"/>
      <c r="I107" s="4" t="n"/>
    </row>
    <row r="108">
      <c r="A108" s="7" t="n"/>
      <c r="B108" s="6" t="n"/>
      <c r="C108" s="2" t="n"/>
      <c r="D108" s="11" t="n"/>
      <c r="E108" s="12" t="n"/>
      <c r="F108" s="2" t="n"/>
      <c r="G108" s="9" t="n"/>
      <c r="H108" s="3" t="n"/>
      <c r="I108" s="4" t="n"/>
    </row>
    <row r="109">
      <c r="A109" s="7" t="n"/>
      <c r="B109" s="6" t="n"/>
      <c r="C109" s="2" t="n"/>
      <c r="D109" s="11" t="n"/>
      <c r="E109" s="12" t="n"/>
      <c r="F109" s="2" t="n"/>
      <c r="G109" s="9" t="n"/>
      <c r="H109" s="3" t="n"/>
      <c r="I109" s="4" t="n"/>
    </row>
    <row r="110">
      <c r="A110" s="7" t="n"/>
      <c r="B110" s="6" t="n"/>
      <c r="C110" s="2" t="n"/>
      <c r="D110" s="11" t="n"/>
      <c r="E110" s="12" t="n"/>
      <c r="F110" s="2" t="n"/>
      <c r="G110" s="9" t="n"/>
      <c r="H110" s="3" t="n"/>
      <c r="I110" s="4" t="n"/>
    </row>
    <row r="111">
      <c r="A111" s="7" t="n"/>
      <c r="B111" s="6" t="n"/>
      <c r="C111" s="2" t="n"/>
      <c r="D111" s="11" t="n"/>
      <c r="E111" s="12" t="n"/>
      <c r="F111" s="2" t="n"/>
      <c r="G111" s="9" t="n"/>
      <c r="H111" s="3" t="n"/>
      <c r="I111" s="4" t="n"/>
    </row>
    <row r="112">
      <c r="A112" s="7" t="n"/>
      <c r="B112" s="6" t="n"/>
      <c r="C112" s="2" t="n"/>
      <c r="D112" s="11" t="n"/>
      <c r="E112" s="12" t="n"/>
      <c r="F112" s="2" t="n"/>
      <c r="G112" s="9" t="n"/>
      <c r="H112" s="3" t="n"/>
      <c r="I112" s="4" t="n"/>
    </row>
    <row r="113">
      <c r="A113" s="7" t="n"/>
      <c r="B113" s="6" t="n"/>
      <c r="C113" s="2" t="n"/>
      <c r="D113" s="11" t="n"/>
      <c r="E113" s="12" t="n"/>
      <c r="F113" s="2" t="n"/>
      <c r="G113" s="9" t="n"/>
      <c r="H113" s="3" t="n"/>
      <c r="I113" s="4" t="n"/>
    </row>
    <row r="114">
      <c r="A114" s="7" t="n"/>
      <c r="B114" s="6" t="n"/>
      <c r="C114" s="2" t="n"/>
      <c r="D114" s="11" t="n"/>
      <c r="E114" s="12" t="n"/>
      <c r="F114" s="2" t="n"/>
      <c r="G114" s="9" t="n"/>
      <c r="H114" s="3" t="n"/>
      <c r="I114" s="4" t="n"/>
    </row>
    <row r="115">
      <c r="A115" s="7" t="n"/>
      <c r="B115" s="6" t="n"/>
      <c r="C115" s="2" t="n"/>
      <c r="D115" s="11" t="n"/>
      <c r="E115" s="12" t="n"/>
      <c r="F115" s="2" t="n"/>
      <c r="G115" s="9" t="n"/>
      <c r="H115" s="3" t="n"/>
      <c r="I115" s="4" t="n"/>
    </row>
    <row r="116">
      <c r="A116" s="7" t="n"/>
      <c r="B116" s="6" t="n"/>
      <c r="C116" s="2" t="n"/>
      <c r="D116" s="11" t="n"/>
      <c r="E116" s="12" t="n"/>
      <c r="F116" s="2" t="n"/>
      <c r="G116" s="9" t="n"/>
      <c r="H116" s="3" t="n"/>
      <c r="I116" s="4" t="n"/>
    </row>
    <row r="117">
      <c r="A117" s="7" t="n"/>
      <c r="B117" s="6" t="n"/>
      <c r="C117" s="2" t="n"/>
      <c r="D117" s="11" t="n"/>
      <c r="E117" s="12" t="n"/>
      <c r="F117" s="2" t="n"/>
      <c r="G117" s="9" t="n"/>
      <c r="H117" s="3" t="n"/>
      <c r="I117" s="4" t="n"/>
    </row>
    <row r="118">
      <c r="A118" s="7" t="n"/>
      <c r="B118" s="6" t="n"/>
      <c r="C118" s="2" t="n"/>
      <c r="D118" s="11" t="n"/>
      <c r="E118" s="12" t="n"/>
      <c r="F118" s="2" t="n"/>
      <c r="G118" s="9" t="n"/>
      <c r="H118" s="3" t="n"/>
      <c r="I118" s="4" t="n"/>
    </row>
    <row r="119">
      <c r="A119" s="7" t="n"/>
      <c r="B119" s="6" t="n"/>
      <c r="C119" s="2" t="n"/>
      <c r="D119" s="11" t="n"/>
      <c r="E119" s="12" t="n"/>
      <c r="F119" s="2" t="n"/>
      <c r="G119" s="9" t="n"/>
      <c r="H119" s="3" t="n"/>
      <c r="I119" s="4" t="n"/>
    </row>
    <row r="120">
      <c r="A120" s="7" t="n"/>
      <c r="B120" s="6" t="n"/>
      <c r="C120" s="2" t="n"/>
      <c r="D120" s="11" t="n"/>
      <c r="E120" s="12" t="n"/>
      <c r="F120" s="2" t="n"/>
      <c r="G120" s="9" t="n"/>
      <c r="H120" s="3" t="n"/>
      <c r="I120" s="4" t="n"/>
    </row>
    <row r="121">
      <c r="A121" s="7" t="n"/>
      <c r="B121" s="6" t="n"/>
      <c r="C121" s="2" t="n"/>
      <c r="D121" s="11" t="n"/>
      <c r="E121" s="12" t="n"/>
      <c r="F121" s="2" t="n"/>
      <c r="G121" s="9" t="n"/>
      <c r="H121" s="3" t="n"/>
      <c r="I121" s="4" t="n"/>
    </row>
    <row r="122">
      <c r="A122" s="7" t="n"/>
      <c r="B122" s="6" t="n"/>
      <c r="C122" s="2" t="n"/>
      <c r="D122" s="11" t="n"/>
      <c r="E122" s="12" t="n"/>
      <c r="F122" s="2" t="n"/>
      <c r="G122" s="9" t="n"/>
      <c r="H122" s="3" t="n"/>
      <c r="I122" s="4" t="n"/>
    </row>
    <row r="123">
      <c r="A123" s="7" t="n"/>
      <c r="B123" s="6" t="n"/>
      <c r="C123" s="2" t="n"/>
      <c r="D123" s="11" t="n"/>
      <c r="E123" s="12" t="n"/>
      <c r="F123" s="2" t="n"/>
      <c r="G123" s="9" t="n"/>
      <c r="H123" s="3" t="n"/>
      <c r="I123" s="4" t="n"/>
    </row>
    <row r="124">
      <c r="A124" s="7" t="n"/>
      <c r="B124" s="6" t="n"/>
      <c r="C124" s="2" t="n"/>
      <c r="D124" s="11" t="n"/>
      <c r="E124" s="12" t="n"/>
      <c r="F124" s="2" t="n"/>
      <c r="G124" s="9" t="n"/>
      <c r="H124" s="3" t="n"/>
      <c r="I124" s="4" t="n"/>
    </row>
    <row r="125">
      <c r="A125" s="7" t="n"/>
      <c r="B125" s="6" t="n"/>
      <c r="C125" s="2" t="n"/>
      <c r="D125" s="11" t="n"/>
      <c r="E125" s="12" t="n"/>
      <c r="F125" s="2" t="n"/>
      <c r="G125" s="9" t="n"/>
      <c r="H125" s="3" t="n"/>
      <c r="I125" s="4" t="n"/>
    </row>
    <row r="126">
      <c r="A126" s="7" t="n"/>
      <c r="B126" s="6" t="n"/>
      <c r="C126" s="2" t="n"/>
      <c r="D126" s="11" t="n"/>
      <c r="E126" s="12" t="n"/>
      <c r="F126" s="2" t="n"/>
      <c r="G126" s="9" t="n"/>
      <c r="H126" s="3" t="n"/>
      <c r="I126" s="4" t="n"/>
    </row>
    <row r="127">
      <c r="A127" s="7" t="n"/>
      <c r="B127" s="6" t="n"/>
      <c r="C127" s="2" t="n"/>
      <c r="D127" s="11" t="n"/>
      <c r="E127" s="12" t="n"/>
      <c r="F127" s="2" t="n"/>
      <c r="G127" s="9" t="n"/>
      <c r="H127" s="3" t="n"/>
      <c r="I127" s="4" t="n"/>
    </row>
    <row r="128">
      <c r="A128" s="7" t="n"/>
      <c r="B128" s="6" t="n"/>
      <c r="C128" s="2" t="n"/>
      <c r="D128" s="11" t="n"/>
      <c r="E128" s="12" t="n"/>
      <c r="F128" s="2" t="n"/>
      <c r="G128" s="9" t="n"/>
      <c r="H128" s="3" t="n"/>
      <c r="I128" s="4" t="n"/>
    </row>
    <row r="129">
      <c r="A129" s="7" t="n"/>
      <c r="B129" s="6" t="n"/>
      <c r="C129" s="2" t="n"/>
      <c r="D129" s="11" t="n"/>
      <c r="E129" s="12" t="n"/>
      <c r="F129" s="2" t="n"/>
      <c r="G129" s="9" t="n"/>
      <c r="H129" s="3" t="n"/>
      <c r="I129" s="4" t="n"/>
    </row>
    <row r="130">
      <c r="A130" s="7" t="n"/>
      <c r="B130" s="6" t="n"/>
      <c r="C130" s="2" t="n"/>
      <c r="D130" s="11" t="n"/>
      <c r="E130" s="12" t="n"/>
      <c r="F130" s="2" t="n"/>
      <c r="G130" s="9" t="n"/>
      <c r="H130" s="3" t="n"/>
      <c r="I130" s="4" t="n"/>
    </row>
    <row r="131">
      <c r="A131" s="7" t="n"/>
      <c r="B131" s="6" t="n"/>
      <c r="C131" s="2" t="n"/>
      <c r="D131" s="11" t="n"/>
      <c r="E131" s="12" t="n"/>
      <c r="F131" s="2" t="n"/>
      <c r="G131" s="9" t="n"/>
      <c r="H131" s="3" t="n"/>
      <c r="I131" s="4" t="n"/>
    </row>
    <row r="132">
      <c r="A132" s="7" t="n"/>
      <c r="B132" s="6" t="n"/>
      <c r="C132" s="2" t="n"/>
      <c r="D132" s="11" t="n"/>
      <c r="E132" s="12" t="n"/>
      <c r="F132" s="2" t="n"/>
      <c r="G132" s="9" t="n"/>
      <c r="H132" s="3" t="n"/>
      <c r="I132" s="4" t="n"/>
    </row>
    <row r="133">
      <c r="A133" s="7" t="n"/>
      <c r="B133" s="6" t="n"/>
      <c r="C133" s="2" t="n"/>
      <c r="D133" s="11" t="n"/>
      <c r="E133" s="12" t="n"/>
      <c r="F133" s="2" t="n"/>
      <c r="G133" s="9" t="n"/>
      <c r="H133" s="3" t="n"/>
      <c r="I133" s="4" t="n"/>
    </row>
    <row r="134">
      <c r="A134" s="7" t="n"/>
      <c r="B134" s="6" t="n"/>
      <c r="C134" s="2" t="n"/>
      <c r="D134" s="11" t="n"/>
      <c r="E134" s="12" t="n"/>
      <c r="F134" s="2" t="n"/>
      <c r="G134" s="9" t="n"/>
      <c r="H134" s="3" t="n"/>
      <c r="I134" s="4" t="n"/>
    </row>
    <row r="135">
      <c r="A135" s="7" t="n"/>
      <c r="B135" s="6" t="n"/>
      <c r="C135" s="2" t="n"/>
      <c r="D135" s="11" t="n"/>
      <c r="E135" s="12" t="n"/>
      <c r="F135" s="2" t="n"/>
      <c r="G135" s="9" t="n"/>
      <c r="H135" s="3" t="n"/>
      <c r="I135" s="4" t="n"/>
    </row>
    <row r="136">
      <c r="A136" s="7" t="n"/>
      <c r="B136" s="6" t="n"/>
      <c r="C136" s="2" t="n"/>
      <c r="D136" s="11" t="n"/>
      <c r="E136" s="12" t="n"/>
      <c r="F136" s="2" t="n"/>
      <c r="G136" s="9" t="n"/>
      <c r="H136" s="3" t="n"/>
      <c r="I136" s="4" t="n"/>
    </row>
    <row r="137">
      <c r="A137" s="7" t="n"/>
      <c r="B137" s="6" t="n"/>
      <c r="C137" s="2" t="n"/>
      <c r="D137" s="11" t="n"/>
      <c r="E137" s="12" t="n"/>
      <c r="F137" s="2" t="n"/>
      <c r="G137" s="9" t="n"/>
      <c r="H137" s="3" t="n"/>
      <c r="I137" s="4" t="n"/>
    </row>
    <row r="138">
      <c r="A138" s="7" t="n"/>
      <c r="B138" s="6" t="n"/>
      <c r="C138" s="2" t="n"/>
      <c r="D138" s="11" t="n"/>
      <c r="E138" s="12" t="n"/>
      <c r="F138" s="2" t="n"/>
      <c r="G138" s="9" t="n"/>
      <c r="H138" s="3" t="n"/>
      <c r="I138" s="4" t="n"/>
    </row>
    <row r="139">
      <c r="A139" s="7" t="n"/>
      <c r="B139" s="6" t="n"/>
      <c r="C139" s="2" t="n"/>
      <c r="D139" s="11" t="n"/>
      <c r="E139" s="12" t="n"/>
      <c r="F139" s="2" t="n"/>
      <c r="G139" s="9" t="n"/>
      <c r="H139" s="3" t="n"/>
      <c r="I139" s="4" t="n"/>
    </row>
    <row r="140">
      <c r="A140" s="7" t="n"/>
      <c r="B140" s="6" t="n"/>
      <c r="C140" s="2" t="n"/>
      <c r="D140" s="11" t="n"/>
      <c r="E140" s="12" t="n"/>
      <c r="F140" s="2" t="n"/>
      <c r="G140" s="9" t="n"/>
      <c r="H140" s="3" t="n"/>
      <c r="I140" s="4" t="n"/>
    </row>
    <row r="141">
      <c r="A141" s="7" t="n"/>
      <c r="B141" s="6" t="n"/>
      <c r="C141" s="2" t="n"/>
      <c r="D141" s="11" t="n"/>
      <c r="E141" s="12" t="n"/>
      <c r="F141" s="2" t="n"/>
      <c r="G141" s="9" t="n"/>
      <c r="H141" s="3" t="n"/>
      <c r="I141" s="4" t="n"/>
    </row>
    <row r="142">
      <c r="A142" s="7" t="n"/>
      <c r="B142" s="6" t="n"/>
      <c r="C142" s="2" t="n"/>
      <c r="D142" s="11" t="n"/>
      <c r="E142" s="12" t="n"/>
      <c r="F142" s="2" t="n"/>
      <c r="G142" s="9" t="n"/>
      <c r="H142" s="3" t="n"/>
      <c r="I142" s="4" t="n"/>
    </row>
    <row r="143">
      <c r="A143" s="7" t="n"/>
      <c r="B143" s="6" t="n"/>
      <c r="C143" s="2" t="n"/>
      <c r="D143" s="11" t="n"/>
      <c r="E143" s="12" t="n"/>
      <c r="F143" s="2" t="n"/>
      <c r="G143" s="9" t="n"/>
      <c r="H143" s="3" t="n"/>
      <c r="I143" s="4" t="n"/>
    </row>
    <row r="144">
      <c r="A144" s="7" t="n"/>
      <c r="B144" s="6" t="n"/>
      <c r="C144" s="2" t="n"/>
      <c r="D144" s="11" t="n"/>
      <c r="E144" s="12" t="n"/>
      <c r="F144" s="2" t="n"/>
      <c r="G144" s="9" t="n"/>
      <c r="H144" s="3" t="n"/>
      <c r="I144" s="4" t="n"/>
    </row>
  </sheetData>
  <autoFilter ref="A1:I144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2"/>
  <sheetViews>
    <sheetView topLeftCell="D1" zoomScaleNormal="100" workbookViewId="0">
      <selection activeCell="I11" sqref="I11"/>
    </sheetView>
  </sheetViews>
  <sheetFormatPr baseColWidth="8" defaultRowHeight="14.5"/>
  <cols>
    <col width="25.08984375" customWidth="1" style="7" min="1" max="1"/>
    <col width="42.81640625" customWidth="1" style="7" min="2" max="2"/>
    <col width="36.54296875" customWidth="1" min="3" max="3"/>
    <col width="50.1796875" customWidth="1" min="4" max="4"/>
    <col width="25.08984375" customWidth="1" min="5" max="8"/>
    <col width="21.6328125" customWidth="1" min="9" max="9"/>
    <col width="13.26953125" customWidth="1" min="10" max="10"/>
    <col width="13.36328125" customWidth="1" min="11" max="11"/>
  </cols>
  <sheetData>
    <row r="1">
      <c r="A1" s="15" t="inlineStr">
        <is>
          <t>Old System NUMBER</t>
        </is>
      </c>
      <c r="B1" s="5" t="inlineStr">
        <is>
          <t>Odoo Number</t>
        </is>
      </c>
      <c r="C1" s="15" t="inlineStr">
        <is>
          <t>Partner</t>
        </is>
      </c>
      <c r="D1" s="15" t="inlineStr">
        <is>
          <t>Invoice/Bill Date</t>
        </is>
      </c>
      <c r="E1" s="15" t="inlineStr">
        <is>
          <t>Due Date (only if 'Partner' has no PMT TERMS)</t>
        </is>
      </c>
      <c r="F1" s="1" t="inlineStr">
        <is>
          <t>Reference</t>
        </is>
      </c>
      <c r="G1" s="15" t="inlineStr">
        <is>
          <t>Invoice Lines / Unit Price</t>
        </is>
      </c>
      <c r="H1" s="1" t="inlineStr">
        <is>
          <t>Invoice Lines / Account</t>
        </is>
      </c>
      <c r="I1" s="1" t="inlineStr">
        <is>
          <t>Invoice Lines / Label</t>
        </is>
      </c>
      <c r="J1" s="1" t="inlineStr">
        <is>
          <t>Currency</t>
        </is>
      </c>
      <c r="K1" s="1" t="inlineStr">
        <is>
          <t>Journal</t>
        </is>
      </c>
    </row>
    <row r="2">
      <c r="A2" s="16" t="inlineStr">
        <is>
          <t>00003178</t>
        </is>
      </c>
      <c r="B2" s="6" t="inlineStr">
        <is>
          <t>MYOB-00003178</t>
        </is>
      </c>
      <c r="C2" s="2" t="inlineStr">
        <is>
          <t>OKANE IRISH FOODS</t>
        </is>
      </c>
      <c r="D2" s="10" t="n">
        <v>46295</v>
      </c>
      <c r="E2" s="12" t="n"/>
      <c r="F2" s="2">
        <f>"Open AP: "&amp;A2</f>
        <v/>
      </c>
      <c r="G2" s="8" t="n">
        <v>2125</v>
      </c>
      <c r="H2" s="3" t="n"/>
      <c r="I2" s="4">
        <f>F2</f>
        <v/>
      </c>
      <c r="J2" t="inlineStr">
        <is>
          <t>AUD</t>
        </is>
      </c>
      <c r="K2" t="inlineStr">
        <is>
          <t>Vendor Bills</t>
        </is>
      </c>
    </row>
    <row r="3">
      <c r="A3" s="16" t="inlineStr">
        <is>
          <t>00003176</t>
        </is>
      </c>
      <c r="B3" s="6" t="inlineStr">
        <is>
          <t>MYOB-00003176</t>
        </is>
      </c>
      <c r="C3" s="2" t="inlineStr">
        <is>
          <t>RAYBURN TRADING</t>
        </is>
      </c>
      <c r="D3" s="10" t="n">
        <v>46295</v>
      </c>
      <c r="E3" s="12" t="n"/>
      <c r="F3" s="2">
        <f>"Open AP: "&amp;A3</f>
        <v/>
      </c>
      <c r="G3" s="8" t="n">
        <v>173.53</v>
      </c>
      <c r="H3" s="3" t="n"/>
      <c r="I3" s="4">
        <f>F3</f>
        <v/>
      </c>
      <c r="J3" t="inlineStr">
        <is>
          <t>AUD</t>
        </is>
      </c>
      <c r="K3" t="inlineStr">
        <is>
          <t>Vendor Bills</t>
        </is>
      </c>
    </row>
    <row r="4">
      <c r="B4" s="6" t="n"/>
      <c r="D4" s="2" t="n"/>
      <c r="E4" s="14" t="n"/>
      <c r="F4" s="14" t="n"/>
      <c r="G4" s="2" t="n"/>
      <c r="H4" s="9" t="n"/>
      <c r="I4" s="4" t="n"/>
      <c r="J4" s="4" t="n"/>
    </row>
    <row r="5">
      <c r="B5" s="6" t="n"/>
      <c r="D5" s="2" t="n"/>
      <c r="E5" s="14" t="n"/>
      <c r="F5" s="14" t="n"/>
      <c r="G5" s="2" t="n"/>
      <c r="H5" s="9" t="n"/>
      <c r="I5" s="4" t="n"/>
      <c r="J5" s="4" t="n"/>
    </row>
    <row r="6">
      <c r="B6" s="6" t="n"/>
      <c r="D6" s="2" t="n"/>
      <c r="E6" s="14" t="n"/>
      <c r="F6" s="14" t="n"/>
      <c r="G6" s="2" t="n"/>
      <c r="H6" s="9" t="n"/>
      <c r="I6" s="4" t="n"/>
      <c r="J6" s="4" t="n"/>
    </row>
    <row r="7">
      <c r="B7" s="6" t="n"/>
      <c r="D7" s="2" t="n"/>
      <c r="E7" s="14" t="n"/>
      <c r="F7" s="14" t="n"/>
      <c r="G7" s="2" t="n"/>
      <c r="H7" s="9" t="n"/>
      <c r="I7" s="4" t="n"/>
      <c r="J7" s="4" t="n"/>
    </row>
    <row r="8">
      <c r="B8" s="6" t="n"/>
      <c r="D8" s="2" t="n"/>
      <c r="E8" s="14" t="n"/>
      <c r="F8" s="14" t="n"/>
      <c r="G8" s="2" t="n"/>
      <c r="H8" s="9" t="n"/>
      <c r="I8" s="4" t="n"/>
      <c r="J8" s="4" t="n"/>
    </row>
    <row r="9">
      <c r="B9" s="6" t="n"/>
      <c r="D9" s="2" t="n"/>
      <c r="E9" s="14" t="n"/>
      <c r="F9" s="14" t="n"/>
      <c r="G9" s="2" t="n"/>
      <c r="H9" s="9" t="n"/>
      <c r="I9" s="4" t="n"/>
      <c r="J9" s="4" t="n"/>
    </row>
    <row r="10">
      <c r="B10" s="6" t="n"/>
      <c r="D10" s="2" t="n"/>
      <c r="E10" s="14" t="n"/>
      <c r="F10" s="14" t="n"/>
      <c r="G10" s="2" t="n"/>
      <c r="H10" s="9" t="n"/>
      <c r="I10" s="4" t="n"/>
      <c r="J10" s="4" t="n"/>
    </row>
    <row r="11">
      <c r="B11" s="6" t="n"/>
      <c r="D11" s="2" t="n"/>
      <c r="E11" s="14" t="n"/>
      <c r="F11" s="14" t="n"/>
      <c r="G11" s="2" t="n"/>
      <c r="H11" s="9" t="n"/>
      <c r="I11" s="4" t="n"/>
      <c r="J11" s="4" t="n"/>
    </row>
    <row r="12">
      <c r="B12" s="6" t="n"/>
      <c r="D12" s="2" t="n"/>
      <c r="E12" s="14" t="n"/>
      <c r="F12" s="14" t="n"/>
      <c r="G12" s="2" t="n"/>
      <c r="H12" s="9" t="n"/>
      <c r="I12" s="4" t="n"/>
      <c r="J12" s="4" t="n"/>
    </row>
    <row r="13">
      <c r="B13" s="6" t="n"/>
      <c r="D13" s="2" t="n"/>
      <c r="E13" s="14" t="n"/>
      <c r="F13" s="14" t="n"/>
      <c r="G13" s="2" t="n"/>
      <c r="H13" s="9" t="n"/>
      <c r="I13" s="4" t="n"/>
      <c r="J13" s="4" t="n"/>
    </row>
    <row r="14">
      <c r="B14" s="6" t="n"/>
      <c r="D14" s="2" t="n"/>
      <c r="E14" s="14" t="n"/>
      <c r="F14" s="14" t="n"/>
      <c r="G14" s="2" t="n"/>
      <c r="H14" s="9" t="n"/>
      <c r="I14" s="4" t="n"/>
      <c r="J14" s="4" t="n"/>
    </row>
    <row r="15">
      <c r="B15" s="6" t="n"/>
      <c r="D15" s="2" t="n"/>
      <c r="E15" s="14" t="n"/>
      <c r="F15" s="14" t="n"/>
      <c r="G15" s="2" t="n"/>
      <c r="H15" s="9" t="n"/>
      <c r="I15" s="4" t="n"/>
      <c r="J15" s="4" t="n"/>
    </row>
    <row r="16">
      <c r="B16" s="6" t="n"/>
      <c r="D16" s="2" t="n"/>
      <c r="E16" s="14" t="n"/>
      <c r="F16" s="14" t="n"/>
      <c r="G16" s="2" t="n"/>
      <c r="H16" s="9" t="n"/>
      <c r="I16" s="4" t="n"/>
      <c r="J16" s="4" t="n"/>
    </row>
    <row r="17">
      <c r="B17" s="6" t="n"/>
      <c r="D17" s="2" t="n"/>
      <c r="E17" s="14" t="n"/>
      <c r="F17" s="14" t="n"/>
      <c r="G17" s="2" t="n"/>
      <c r="H17" s="9" t="n"/>
      <c r="I17" s="4" t="n"/>
      <c r="J17" s="4" t="n"/>
    </row>
    <row r="18">
      <c r="B18" s="6" t="n"/>
      <c r="D18" s="2" t="n"/>
      <c r="E18" s="14" t="n"/>
      <c r="F18" s="14" t="n"/>
      <c r="G18" s="2" t="n"/>
      <c r="H18" s="9" t="n"/>
      <c r="I18" s="4" t="n"/>
      <c r="J18" s="4" t="n"/>
    </row>
    <row r="19">
      <c r="B19" s="6" t="n"/>
      <c r="D19" s="2" t="n"/>
      <c r="E19" s="14" t="n"/>
      <c r="F19" s="14" t="n"/>
      <c r="G19" s="2" t="n"/>
      <c r="H19" s="9" t="n"/>
      <c r="I19" s="4" t="n"/>
      <c r="J19" s="4" t="n"/>
    </row>
    <row r="20">
      <c r="B20" s="6" t="n"/>
      <c r="D20" s="2" t="n"/>
      <c r="E20" s="14" t="n"/>
      <c r="F20" s="14" t="n"/>
      <c r="G20" s="2" t="n"/>
      <c r="H20" s="9" t="n"/>
      <c r="I20" s="4" t="n"/>
      <c r="J20" s="4" t="n"/>
    </row>
    <row r="21">
      <c r="B21" s="6" t="n"/>
      <c r="D21" s="2" t="n"/>
      <c r="E21" s="14" t="n"/>
      <c r="F21" s="14" t="n"/>
      <c r="G21" s="2" t="n"/>
      <c r="H21" s="9" t="n"/>
      <c r="I21" s="4" t="n"/>
      <c r="J21" s="4" t="n"/>
    </row>
    <row r="22">
      <c r="B22" s="6" t="n"/>
      <c r="D22" s="2" t="n"/>
      <c r="E22" s="14" t="n"/>
      <c r="F22" s="14" t="n"/>
      <c r="G22" s="2" t="n"/>
      <c r="H22" s="9" t="n"/>
      <c r="I22" s="4" t="n"/>
      <c r="J22" s="4" t="n"/>
    </row>
    <row r="23">
      <c r="B23" s="6" t="n"/>
      <c r="D23" s="2" t="n"/>
      <c r="E23" s="14" t="n"/>
      <c r="F23" s="14" t="n"/>
      <c r="G23" s="2" t="n"/>
      <c r="H23" s="9" t="n"/>
      <c r="I23" s="4" t="n"/>
      <c r="J23" s="4" t="n"/>
    </row>
    <row r="24">
      <c r="B24" s="6" t="n"/>
      <c r="D24" s="2" t="n"/>
      <c r="E24" s="14" t="n"/>
      <c r="F24" s="14" t="n"/>
      <c r="G24" s="2" t="n"/>
      <c r="H24" s="9" t="n"/>
      <c r="I24" s="4" t="n"/>
      <c r="J24" s="4" t="n"/>
    </row>
    <row r="25">
      <c r="B25" s="6" t="n"/>
      <c r="D25" s="2" t="n"/>
      <c r="E25" s="14" t="n"/>
      <c r="F25" s="14" t="n"/>
      <c r="G25" s="2" t="n"/>
      <c r="H25" s="9" t="n"/>
      <c r="I25" s="4" t="n"/>
      <c r="J25" s="4" t="n"/>
    </row>
    <row r="26">
      <c r="B26" s="6" t="n"/>
      <c r="D26" s="2" t="n"/>
      <c r="E26" s="14" t="n"/>
      <c r="F26" s="14" t="n"/>
      <c r="G26" s="2" t="n"/>
      <c r="H26" s="9" t="n"/>
      <c r="I26" s="4" t="n"/>
      <c r="J26" s="4" t="n"/>
    </row>
    <row r="27">
      <c r="B27" s="6" t="n"/>
      <c r="D27" s="2" t="n"/>
      <c r="E27" s="14" t="n"/>
      <c r="F27" s="14" t="n"/>
      <c r="G27" s="2" t="n"/>
      <c r="H27" s="9" t="n"/>
      <c r="I27" s="4" t="n"/>
      <c r="J27" s="4" t="n"/>
    </row>
    <row r="28">
      <c r="B28" s="6" t="n"/>
      <c r="D28" s="2" t="n"/>
      <c r="E28" s="14" t="n"/>
      <c r="F28" s="14" t="n"/>
      <c r="G28" s="2" t="n"/>
      <c r="H28" s="9" t="n"/>
      <c r="I28" s="4" t="n"/>
      <c r="J28" s="4" t="n"/>
    </row>
    <row r="29">
      <c r="B29" s="6" t="n"/>
      <c r="D29" s="2" t="n"/>
      <c r="E29" s="14" t="n"/>
      <c r="F29" s="14" t="n"/>
      <c r="G29" s="2" t="n"/>
      <c r="H29" s="9" t="n"/>
      <c r="I29" s="4" t="n"/>
      <c r="J29" s="4" t="n"/>
    </row>
    <row r="30">
      <c r="B30" s="6" t="n"/>
      <c r="D30" s="2" t="n"/>
      <c r="E30" s="14" t="n"/>
      <c r="F30" s="14" t="n"/>
      <c r="G30" s="2" t="n"/>
      <c r="H30" s="9" t="n"/>
      <c r="I30" s="4" t="n"/>
      <c r="J30" s="4" t="n"/>
    </row>
    <row r="31">
      <c r="B31" s="6" t="n"/>
      <c r="D31" s="2" t="n"/>
      <c r="E31" s="14" t="n"/>
      <c r="F31" s="14" t="n"/>
      <c r="G31" s="2" t="n"/>
      <c r="H31" s="9" t="n"/>
      <c r="I31" s="4" t="n"/>
      <c r="J31" s="4" t="n"/>
    </row>
    <row r="32">
      <c r="B32" s="6" t="n"/>
      <c r="D32" s="2" t="n"/>
      <c r="E32" s="14" t="n"/>
      <c r="F32" s="14" t="n"/>
      <c r="G32" s="2" t="n"/>
      <c r="H32" s="9" t="n"/>
      <c r="I32" s="4" t="n"/>
      <c r="J32" s="4" t="n"/>
    </row>
    <row r="33">
      <c r="B33" s="6" t="n"/>
      <c r="D33" s="2" t="n"/>
      <c r="E33" s="14" t="n"/>
      <c r="F33" s="14" t="n"/>
      <c r="G33" s="2" t="n"/>
      <c r="H33" s="9" t="n"/>
      <c r="I33" s="4" t="n"/>
      <c r="J33" s="4" t="n"/>
    </row>
    <row r="34">
      <c r="B34" s="6" t="n"/>
      <c r="D34" s="2" t="n"/>
      <c r="E34" s="14" t="n"/>
      <c r="F34" s="14" t="n"/>
      <c r="G34" s="2" t="n"/>
      <c r="H34" s="9" t="n"/>
      <c r="I34" s="4" t="n"/>
      <c r="J34" s="4" t="n"/>
    </row>
    <row r="35">
      <c r="B35" s="6" t="n"/>
      <c r="D35" s="2" t="n"/>
      <c r="E35" s="14" t="n"/>
      <c r="F35" s="14" t="n"/>
      <c r="G35" s="2" t="n"/>
      <c r="H35" s="9" t="n"/>
      <c r="I35" s="4" t="n"/>
      <c r="J35" s="4" t="n"/>
    </row>
    <row r="36">
      <c r="B36" s="6" t="n"/>
      <c r="D36" s="2" t="n"/>
      <c r="E36" s="14" t="n"/>
      <c r="F36" s="14" t="n"/>
      <c r="G36" s="2" t="n"/>
      <c r="H36" s="9" t="n"/>
      <c r="I36" s="4" t="n"/>
      <c r="J36" s="4" t="n"/>
    </row>
    <row r="37">
      <c r="B37" s="6" t="n"/>
      <c r="D37" s="2" t="n"/>
      <c r="E37" s="14" t="n"/>
      <c r="F37" s="14" t="n"/>
      <c r="G37" s="2" t="n"/>
      <c r="H37" s="9" t="n"/>
      <c r="I37" s="4" t="n"/>
      <c r="J37" s="4" t="n"/>
    </row>
    <row r="38">
      <c r="B38" s="6" t="n"/>
      <c r="D38" s="2" t="n"/>
      <c r="E38" s="14" t="n"/>
      <c r="F38" s="14" t="n"/>
      <c r="G38" s="2" t="n"/>
      <c r="H38" s="9" t="n"/>
      <c r="I38" s="4" t="n"/>
      <c r="J38" s="4" t="n"/>
    </row>
    <row r="39">
      <c r="B39" s="6" t="n"/>
      <c r="D39" s="2" t="n"/>
      <c r="E39" s="14" t="n"/>
      <c r="F39" s="14" t="n"/>
      <c r="G39" s="2" t="n"/>
      <c r="H39" s="9" t="n"/>
      <c r="I39" s="4" t="n"/>
      <c r="J39" s="4" t="n"/>
    </row>
    <row r="40">
      <c r="B40" s="6" t="n"/>
      <c r="D40" s="2" t="n"/>
      <c r="E40" s="14" t="n"/>
      <c r="F40" s="14" t="n"/>
      <c r="G40" s="2" t="n"/>
      <c r="H40" s="9" t="n"/>
      <c r="I40" s="4" t="n"/>
      <c r="J40" s="4" t="n"/>
    </row>
    <row r="41">
      <c r="B41" s="6" t="n"/>
      <c r="D41" s="2" t="n"/>
      <c r="E41" s="14" t="n"/>
      <c r="F41" s="14" t="n"/>
      <c r="G41" s="2" t="n"/>
      <c r="H41" s="9" t="n"/>
      <c r="I41" s="4" t="n"/>
      <c r="J41" s="4" t="n"/>
    </row>
    <row r="42">
      <c r="B42" s="6" t="n"/>
      <c r="D42" s="2" t="n"/>
      <c r="E42" s="14" t="n"/>
      <c r="F42" s="14" t="n"/>
      <c r="G42" s="2" t="n"/>
      <c r="H42" s="9" t="n"/>
      <c r="I42" s="4" t="n"/>
      <c r="J42" s="4" t="n"/>
    </row>
    <row r="43">
      <c r="B43" s="6" t="n"/>
      <c r="D43" s="2" t="n"/>
      <c r="E43" s="14" t="n"/>
      <c r="F43" s="14" t="n"/>
      <c r="G43" s="2" t="n"/>
      <c r="H43" s="9" t="n"/>
      <c r="I43" s="4" t="n"/>
      <c r="J43" s="4" t="n"/>
    </row>
    <row r="44">
      <c r="B44" s="6" t="n"/>
      <c r="D44" s="2" t="n"/>
      <c r="E44" s="14" t="n"/>
      <c r="F44" s="14" t="n"/>
      <c r="G44" s="2" t="n"/>
      <c r="H44" s="9" t="n"/>
      <c r="I44" s="4" t="n"/>
      <c r="J44" s="4" t="n"/>
    </row>
    <row r="45">
      <c r="B45" s="6" t="n"/>
      <c r="D45" s="2" t="n"/>
      <c r="E45" s="14" t="n"/>
      <c r="F45" s="14" t="n"/>
      <c r="G45" s="2" t="n"/>
      <c r="H45" s="9" t="n"/>
      <c r="I45" s="4" t="n"/>
      <c r="J45" s="4" t="n"/>
    </row>
    <row r="46">
      <c r="B46" s="6" t="n"/>
      <c r="D46" s="2" t="n"/>
      <c r="E46" s="14" t="n"/>
      <c r="F46" s="14" t="n"/>
      <c r="G46" s="2" t="n"/>
      <c r="H46" s="9" t="n"/>
      <c r="I46" s="4" t="n"/>
      <c r="J46" s="4" t="n"/>
    </row>
    <row r="47">
      <c r="B47" s="6" t="n"/>
      <c r="D47" s="2" t="n"/>
      <c r="E47" s="14" t="n"/>
      <c r="F47" s="14" t="n"/>
      <c r="G47" s="2" t="n"/>
      <c r="H47" s="9" t="n"/>
      <c r="I47" s="4" t="n"/>
      <c r="J47" s="4" t="n"/>
    </row>
    <row r="48">
      <c r="B48" s="6" t="n"/>
      <c r="D48" s="2" t="n"/>
      <c r="E48" s="14" t="n"/>
      <c r="F48" s="14" t="n"/>
      <c r="G48" s="2" t="n"/>
      <c r="H48" s="9" t="n"/>
      <c r="I48" s="4" t="n"/>
      <c r="J48" s="4" t="n"/>
    </row>
    <row r="49">
      <c r="B49" s="6" t="n"/>
      <c r="D49" s="2" t="n"/>
      <c r="E49" s="14" t="n"/>
      <c r="F49" s="14" t="n"/>
      <c r="G49" s="2" t="n"/>
      <c r="H49" s="9" t="n"/>
      <c r="I49" s="4" t="n"/>
      <c r="J49" s="4" t="n"/>
    </row>
    <row r="50">
      <c r="B50" s="6" t="n"/>
      <c r="D50" s="2" t="n"/>
      <c r="E50" s="14" t="n"/>
      <c r="F50" s="14" t="n"/>
      <c r="G50" s="2" t="n"/>
      <c r="H50" s="9" t="n"/>
      <c r="I50" s="4" t="n"/>
      <c r="J50" s="4" t="n"/>
    </row>
    <row r="51">
      <c r="B51" s="6" t="n"/>
      <c r="D51" s="2" t="n"/>
      <c r="E51" s="14" t="n"/>
      <c r="F51" s="14" t="n"/>
      <c r="G51" s="2" t="n"/>
      <c r="H51" s="9" t="n"/>
      <c r="I51" s="4" t="n"/>
      <c r="J51" s="4" t="n"/>
    </row>
    <row r="52">
      <c r="B52" s="6" t="n"/>
      <c r="D52" s="2" t="n"/>
      <c r="E52" s="14" t="n"/>
      <c r="F52" s="14" t="n"/>
      <c r="G52" s="2" t="n"/>
      <c r="H52" s="9" t="n"/>
      <c r="I52" s="4" t="n"/>
      <c r="J52" s="4" t="n"/>
    </row>
    <row r="53">
      <c r="B53" s="6" t="n"/>
      <c r="D53" s="2" t="n"/>
      <c r="E53" s="14" t="n"/>
      <c r="F53" s="14" t="n"/>
      <c r="G53" s="2" t="n"/>
      <c r="H53" s="9" t="n"/>
      <c r="I53" s="4" t="n"/>
      <c r="J53" s="4" t="n"/>
    </row>
    <row r="54">
      <c r="B54" s="6" t="n"/>
      <c r="D54" s="2" t="n"/>
      <c r="E54" s="14" t="n"/>
      <c r="F54" s="14" t="n"/>
      <c r="G54" s="2" t="n"/>
      <c r="H54" s="9" t="n"/>
      <c r="I54" s="4" t="n"/>
      <c r="J54" s="4" t="n"/>
    </row>
    <row r="55">
      <c r="B55" s="6" t="n"/>
      <c r="D55" s="2" t="n"/>
      <c r="E55" s="14" t="n"/>
      <c r="F55" s="14" t="n"/>
      <c r="G55" s="2" t="n"/>
      <c r="H55" s="9" t="n"/>
      <c r="I55" s="4" t="n"/>
      <c r="J55" s="4" t="n"/>
    </row>
    <row r="56">
      <c r="B56" s="6" t="n"/>
      <c r="D56" s="2" t="n"/>
      <c r="E56" s="14" t="n"/>
      <c r="F56" s="14" t="n"/>
      <c r="G56" s="2" t="n"/>
      <c r="H56" s="9" t="n"/>
      <c r="I56" s="4" t="n"/>
      <c r="J56" s="4" t="n"/>
    </row>
    <row r="57">
      <c r="B57" s="6" t="n"/>
      <c r="D57" s="2" t="n"/>
      <c r="E57" s="14" t="n"/>
      <c r="F57" s="14" t="n"/>
      <c r="G57" s="2" t="n"/>
      <c r="H57" s="9" t="n"/>
      <c r="I57" s="4" t="n"/>
      <c r="J57" s="4" t="n"/>
    </row>
    <row r="58">
      <c r="B58" s="6" t="n"/>
      <c r="D58" s="2" t="n"/>
      <c r="E58" s="14" t="n"/>
      <c r="F58" s="14" t="n"/>
      <c r="G58" s="2" t="n"/>
      <c r="H58" s="9" t="n"/>
      <c r="I58" s="4" t="n"/>
      <c r="J58" s="4" t="n"/>
    </row>
    <row r="59">
      <c r="B59" s="6" t="n"/>
      <c r="D59" s="2" t="n"/>
      <c r="E59" s="14" t="n"/>
      <c r="F59" s="14" t="n"/>
      <c r="G59" s="2" t="n"/>
      <c r="H59" s="9" t="n"/>
      <c r="I59" s="4" t="n"/>
      <c r="J59" s="4" t="n"/>
    </row>
    <row r="60">
      <c r="B60" s="6" t="n"/>
      <c r="D60" s="2" t="n"/>
      <c r="E60" s="14" t="n"/>
      <c r="F60" s="14" t="n"/>
      <c r="G60" s="2" t="n"/>
      <c r="H60" s="9" t="n"/>
      <c r="I60" s="4" t="n"/>
      <c r="J60" s="4" t="n"/>
    </row>
    <row r="61">
      <c r="B61" s="6" t="n"/>
      <c r="D61" s="2" t="n"/>
      <c r="E61" s="14" t="n"/>
      <c r="F61" s="14" t="n"/>
      <c r="G61" s="2" t="n"/>
      <c r="H61" s="9" t="n"/>
      <c r="I61" s="4" t="n"/>
      <c r="J61" s="4" t="n"/>
    </row>
    <row r="62">
      <c r="B62" s="6" t="n"/>
      <c r="D62" s="2" t="n"/>
      <c r="E62" s="14" t="n"/>
      <c r="F62" s="14" t="n"/>
      <c r="G62" s="2" t="n"/>
      <c r="H62" s="9" t="n"/>
      <c r="I62" s="4" t="n"/>
      <c r="J62" s="4" t="n"/>
    </row>
    <row r="63">
      <c r="B63" s="6" t="n"/>
      <c r="D63" s="2" t="n"/>
      <c r="E63" s="14" t="n"/>
      <c r="F63" s="14" t="n"/>
      <c r="G63" s="2" t="n"/>
      <c r="H63" s="9" t="n"/>
      <c r="I63" s="4" t="n"/>
      <c r="J63" s="4" t="n"/>
    </row>
    <row r="64">
      <c r="B64" s="6" t="n"/>
      <c r="D64" s="2" t="n"/>
      <c r="E64" s="14" t="n"/>
      <c r="F64" s="14" t="n"/>
      <c r="G64" s="2" t="n"/>
      <c r="H64" s="9" t="n"/>
      <c r="I64" s="4" t="n"/>
      <c r="J64" s="4" t="n"/>
    </row>
    <row r="65">
      <c r="B65" s="6" t="n"/>
      <c r="D65" s="2" t="n"/>
      <c r="E65" s="14" t="n"/>
      <c r="F65" s="14" t="n"/>
      <c r="G65" s="2" t="n"/>
      <c r="H65" s="9" t="n"/>
      <c r="I65" s="4" t="n"/>
      <c r="J65" s="4" t="n"/>
    </row>
    <row r="66">
      <c r="B66" s="6" t="n"/>
      <c r="D66" s="2" t="n"/>
      <c r="E66" s="14" t="n"/>
      <c r="F66" s="14" t="n"/>
      <c r="G66" s="2" t="n"/>
      <c r="H66" s="9" t="n"/>
      <c r="I66" s="4" t="n"/>
      <c r="J66" s="4" t="n"/>
    </row>
    <row r="67">
      <c r="B67" s="6" t="n"/>
      <c r="D67" s="2" t="n"/>
      <c r="E67" s="14" t="n"/>
      <c r="F67" s="14" t="n"/>
      <c r="G67" s="2" t="n"/>
      <c r="H67" s="9" t="n"/>
      <c r="I67" s="4" t="n"/>
      <c r="J67" s="4" t="n"/>
    </row>
    <row r="68">
      <c r="B68" s="6" t="n"/>
      <c r="D68" s="2" t="n"/>
      <c r="E68" s="14" t="n"/>
      <c r="F68" s="14" t="n"/>
      <c r="G68" s="2" t="n"/>
      <c r="H68" s="9" t="n"/>
      <c r="I68" s="4" t="n"/>
      <c r="J68" s="4" t="n"/>
    </row>
    <row r="69">
      <c r="B69" s="6" t="n"/>
      <c r="D69" s="2" t="n"/>
      <c r="E69" s="14" t="n"/>
      <c r="F69" s="14" t="n"/>
      <c r="G69" s="2" t="n"/>
      <c r="H69" s="9" t="n"/>
      <c r="I69" s="4" t="n"/>
      <c r="J69" s="4" t="n"/>
    </row>
    <row r="70">
      <c r="B70" s="6" t="n"/>
      <c r="D70" s="2" t="n"/>
      <c r="E70" s="14" t="n"/>
      <c r="F70" s="14" t="n"/>
      <c r="G70" s="2" t="n"/>
      <c r="H70" s="9" t="n"/>
      <c r="I70" s="4" t="n"/>
      <c r="J70" s="4" t="n"/>
    </row>
    <row r="71">
      <c r="B71" s="6" t="n"/>
      <c r="D71" s="2" t="n"/>
      <c r="E71" s="14" t="n"/>
      <c r="F71" s="14" t="n"/>
      <c r="G71" s="2" t="n"/>
      <c r="H71" s="9" t="n"/>
      <c r="I71" s="4" t="n"/>
      <c r="J71" s="4" t="n"/>
    </row>
    <row r="72">
      <c r="B72" s="6" t="n"/>
      <c r="D72" s="2" t="n"/>
      <c r="E72" s="14" t="n"/>
      <c r="F72" s="14" t="n"/>
      <c r="G72" s="2" t="n"/>
      <c r="H72" s="9" t="n"/>
      <c r="I72" s="4" t="n"/>
      <c r="J72" s="4" t="n"/>
    </row>
    <row r="73">
      <c r="B73" s="6" t="n"/>
      <c r="D73" s="2" t="n"/>
      <c r="E73" s="14" t="n"/>
      <c r="F73" s="14" t="n"/>
      <c r="G73" s="2" t="n"/>
      <c r="H73" s="9" t="n"/>
      <c r="I73" s="4" t="n"/>
      <c r="J73" s="4" t="n"/>
    </row>
    <row r="74">
      <c r="B74" s="6" t="n"/>
      <c r="D74" s="2" t="n"/>
      <c r="E74" s="14" t="n"/>
      <c r="F74" s="14" t="n"/>
      <c r="G74" s="2" t="n"/>
      <c r="H74" s="9" t="n"/>
      <c r="I74" s="4" t="n"/>
      <c r="J74" s="4" t="n"/>
    </row>
    <row r="75">
      <c r="B75" s="6" t="n"/>
      <c r="D75" s="2" t="n"/>
      <c r="E75" s="14" t="n"/>
      <c r="F75" s="14" t="n"/>
      <c r="G75" s="2" t="n"/>
      <c r="H75" s="9" t="n"/>
      <c r="I75" s="4" t="n"/>
      <c r="J75" s="4" t="n"/>
    </row>
    <row r="76">
      <c r="B76" s="6" t="n"/>
      <c r="D76" s="2" t="n"/>
      <c r="E76" s="14" t="n"/>
      <c r="F76" s="14" t="n"/>
      <c r="G76" s="2" t="n"/>
      <c r="H76" s="9" t="n"/>
      <c r="I76" s="4" t="n"/>
      <c r="J76" s="4" t="n"/>
    </row>
    <row r="77">
      <c r="B77" s="6" t="n"/>
      <c r="D77" s="2" t="n"/>
      <c r="E77" s="14" t="n"/>
      <c r="F77" s="14" t="n"/>
      <c r="G77" s="2" t="n"/>
      <c r="H77" s="9" t="n"/>
      <c r="I77" s="4" t="n"/>
      <c r="J77" s="4" t="n"/>
    </row>
    <row r="78">
      <c r="B78" s="6" t="n"/>
      <c r="D78" s="2" t="n"/>
      <c r="E78" s="14" t="n"/>
      <c r="F78" s="14" t="n"/>
      <c r="G78" s="2" t="n"/>
      <c r="H78" s="9" t="n"/>
      <c r="I78" s="4" t="n"/>
      <c r="J78" s="4" t="n"/>
    </row>
    <row r="79">
      <c r="B79" s="6" t="n"/>
      <c r="D79" s="2" t="n"/>
      <c r="E79" s="14" t="n"/>
      <c r="F79" s="14" t="n"/>
      <c r="G79" s="2" t="n"/>
      <c r="H79" s="9" t="n"/>
      <c r="I79" s="4" t="n"/>
      <c r="J79" s="4" t="n"/>
    </row>
    <row r="80">
      <c r="B80" s="6" t="n"/>
      <c r="D80" s="2" t="n"/>
      <c r="E80" s="14" t="n"/>
      <c r="F80" s="14" t="n"/>
      <c r="G80" s="2" t="n"/>
      <c r="H80" s="9" t="n"/>
      <c r="I80" s="4" t="n"/>
      <c r="J80" s="4" t="n"/>
    </row>
    <row r="81">
      <c r="B81" s="6" t="n"/>
      <c r="D81" s="2" t="n"/>
      <c r="E81" s="14" t="n"/>
      <c r="F81" s="14" t="n"/>
      <c r="G81" s="2" t="n"/>
      <c r="H81" s="9" t="n"/>
      <c r="I81" s="4" t="n"/>
      <c r="J81" s="4" t="n"/>
    </row>
    <row r="82">
      <c r="B82" s="6" t="n"/>
      <c r="D82" s="2" t="n"/>
      <c r="E82" s="14" t="n"/>
      <c r="F82" s="14" t="n"/>
      <c r="G82" s="2" t="n"/>
      <c r="H82" s="9" t="n"/>
      <c r="I82" s="4" t="n"/>
      <c r="J82" s="4" t="n"/>
    </row>
    <row r="83">
      <c r="B83" s="6" t="n"/>
      <c r="D83" s="2" t="n"/>
      <c r="E83" s="14" t="n"/>
      <c r="F83" s="14" t="n"/>
      <c r="G83" s="2" t="n"/>
      <c r="H83" s="9" t="n"/>
      <c r="I83" s="4" t="n"/>
      <c r="J83" s="4" t="n"/>
    </row>
    <row r="84">
      <c r="B84" s="6" t="n"/>
      <c r="D84" s="2" t="n"/>
      <c r="E84" s="14" t="n"/>
      <c r="F84" s="14" t="n"/>
      <c r="G84" s="2" t="n"/>
      <c r="H84" s="9" t="n"/>
      <c r="I84" s="4" t="n"/>
      <c r="J84" s="4" t="n"/>
    </row>
    <row r="85">
      <c r="B85" s="6" t="n"/>
      <c r="D85" s="2" t="n"/>
      <c r="E85" s="14" t="n"/>
      <c r="F85" s="14" t="n"/>
      <c r="G85" s="2" t="n"/>
      <c r="H85" s="9" t="n"/>
      <c r="I85" s="4" t="n"/>
      <c r="J85" s="4" t="n"/>
    </row>
    <row r="86">
      <c r="B86" s="6" t="n"/>
      <c r="D86" s="2" t="n"/>
      <c r="E86" s="14" t="n"/>
      <c r="F86" s="14" t="n"/>
      <c r="G86" s="2" t="n"/>
      <c r="H86" s="9" t="n"/>
      <c r="I86" s="4" t="n"/>
      <c r="J86" s="4" t="n"/>
    </row>
    <row r="87">
      <c r="B87" s="6" t="n"/>
      <c r="D87" s="2" t="n"/>
      <c r="E87" s="14" t="n"/>
      <c r="F87" s="14" t="n"/>
      <c r="G87" s="2" t="n"/>
      <c r="H87" s="9" t="n"/>
      <c r="I87" s="4" t="n"/>
      <c r="J87" s="4" t="n"/>
    </row>
    <row r="88">
      <c r="B88" s="6" t="n"/>
      <c r="D88" s="2" t="n"/>
      <c r="E88" s="14" t="n"/>
      <c r="F88" s="14" t="n"/>
      <c r="G88" s="2" t="n"/>
      <c r="H88" s="9" t="n"/>
      <c r="I88" s="4" t="n"/>
      <c r="J88" s="4" t="n"/>
    </row>
    <row r="89">
      <c r="B89" s="6" t="n"/>
      <c r="D89" s="2" t="n"/>
      <c r="E89" s="14" t="n"/>
      <c r="F89" s="14" t="n"/>
      <c r="G89" s="2" t="n"/>
      <c r="H89" s="9" t="n"/>
      <c r="I89" s="4" t="n"/>
      <c r="J89" s="4" t="n"/>
    </row>
    <row r="90">
      <c r="B90" s="6" t="n"/>
      <c r="D90" s="2" t="n"/>
      <c r="E90" s="14" t="n"/>
      <c r="F90" s="14" t="n"/>
      <c r="G90" s="2" t="n"/>
      <c r="H90" s="9" t="n"/>
      <c r="I90" s="4" t="n"/>
      <c r="J90" s="4" t="n"/>
    </row>
    <row r="91">
      <c r="B91" s="6" t="n"/>
      <c r="D91" s="2" t="n"/>
      <c r="E91" s="14" t="n"/>
      <c r="F91" s="14" t="n"/>
      <c r="G91" s="2" t="n"/>
      <c r="H91" s="9" t="n"/>
      <c r="I91" s="4" t="n"/>
      <c r="J91" s="4" t="n"/>
    </row>
    <row r="92">
      <c r="B92" s="6" t="n"/>
      <c r="D92" s="2" t="n"/>
      <c r="E92" s="14" t="n"/>
      <c r="F92" s="14" t="n"/>
      <c r="G92" s="2" t="n"/>
      <c r="H92" s="9" t="n"/>
      <c r="I92" s="4" t="n"/>
      <c r="J92" s="4" t="n"/>
    </row>
    <row r="93">
      <c r="B93" s="6" t="n"/>
      <c r="D93" s="2" t="n"/>
      <c r="E93" s="14" t="n"/>
      <c r="F93" s="14" t="n"/>
      <c r="G93" s="2" t="n"/>
      <c r="H93" s="9" t="n"/>
      <c r="I93" s="4" t="n"/>
      <c r="J93" s="4" t="n"/>
    </row>
    <row r="94">
      <c r="B94" s="6" t="n"/>
      <c r="D94" s="2" t="n"/>
      <c r="E94" s="14" t="n"/>
      <c r="F94" s="14" t="n"/>
      <c r="G94" s="2" t="n"/>
      <c r="H94" s="9" t="n"/>
      <c r="I94" s="4" t="n"/>
      <c r="J94" s="4" t="n"/>
    </row>
    <row r="95">
      <c r="B95" s="6" t="n"/>
      <c r="D95" s="2" t="n"/>
      <c r="E95" s="14" t="n"/>
      <c r="F95" s="14" t="n"/>
      <c r="G95" s="2" t="n"/>
      <c r="H95" s="9" t="n"/>
      <c r="I95" s="4" t="n"/>
      <c r="J95" s="4" t="n"/>
    </row>
    <row r="96">
      <c r="B96" s="6" t="n"/>
      <c r="D96" s="2" t="n"/>
      <c r="E96" s="14" t="n"/>
      <c r="F96" s="14" t="n"/>
      <c r="G96" s="2" t="n"/>
      <c r="H96" s="9" t="n"/>
      <c r="I96" s="4" t="n"/>
      <c r="J96" s="4" t="n"/>
    </row>
    <row r="97">
      <c r="B97" s="6" t="n"/>
      <c r="D97" s="2" t="n"/>
      <c r="E97" s="14" t="n"/>
      <c r="F97" s="14" t="n"/>
      <c r="G97" s="2" t="n"/>
      <c r="H97" s="9" t="n"/>
      <c r="I97" s="4" t="n"/>
      <c r="J97" s="4" t="n"/>
    </row>
    <row r="98">
      <c r="B98" s="6" t="n"/>
      <c r="D98" s="2" t="n"/>
      <c r="E98" s="14" t="n"/>
      <c r="F98" s="14" t="n"/>
      <c r="G98" s="2" t="n"/>
      <c r="H98" s="9" t="n"/>
      <c r="I98" s="4" t="n"/>
      <c r="J98" s="4" t="n"/>
    </row>
    <row r="99">
      <c r="B99" s="6" t="n"/>
      <c r="D99" s="2" t="n"/>
      <c r="E99" s="14" t="n"/>
      <c r="F99" s="14" t="n"/>
      <c r="G99" s="2" t="n"/>
      <c r="H99" s="9" t="n"/>
      <c r="I99" s="4" t="n"/>
      <c r="J99" s="4" t="n"/>
    </row>
    <row r="100">
      <c r="B100" s="6" t="n"/>
      <c r="D100" s="2" t="n"/>
      <c r="E100" s="14" t="n"/>
      <c r="F100" s="14" t="n"/>
      <c r="G100" s="2" t="n"/>
      <c r="H100" s="9" t="n"/>
      <c r="I100" s="4" t="n"/>
      <c r="J100" s="4" t="n"/>
    </row>
    <row r="101">
      <c r="B101" s="6" t="n"/>
      <c r="D101" s="2" t="n"/>
      <c r="E101" s="14" t="n"/>
      <c r="F101" s="14" t="n"/>
      <c r="G101" s="2" t="n"/>
      <c r="H101" s="9" t="n"/>
      <c r="I101" s="4" t="n"/>
      <c r="J101" s="4" t="n"/>
    </row>
    <row r="102">
      <c r="B102" s="6" t="n"/>
      <c r="D102" s="2" t="n"/>
      <c r="E102" s="14" t="n"/>
      <c r="F102" s="14" t="n"/>
      <c r="G102" s="2" t="n"/>
      <c r="H102" s="9" t="n"/>
      <c r="I102" s="4" t="n"/>
      <c r="J102" s="4" t="n"/>
    </row>
    <row r="103">
      <c r="B103" s="6" t="n"/>
      <c r="D103" s="2" t="n"/>
      <c r="E103" s="14" t="n"/>
      <c r="F103" s="14" t="n"/>
      <c r="G103" s="2" t="n"/>
      <c r="H103" s="9" t="n"/>
      <c r="I103" s="4" t="n"/>
      <c r="J103" s="4" t="n"/>
    </row>
    <row r="104">
      <c r="B104" s="6" t="n"/>
      <c r="D104" s="2" t="n"/>
      <c r="E104" s="14" t="n"/>
      <c r="F104" s="14" t="n"/>
      <c r="G104" s="2" t="n"/>
      <c r="H104" s="9" t="n"/>
      <c r="I104" s="4" t="n"/>
      <c r="J104" s="4" t="n"/>
    </row>
    <row r="105">
      <c r="B105" s="6" t="n"/>
      <c r="D105" s="2" t="n"/>
      <c r="E105" s="14" t="n"/>
      <c r="F105" s="14" t="n"/>
      <c r="G105" s="2" t="n"/>
      <c r="H105" s="9" t="n"/>
      <c r="I105" s="4" t="n"/>
      <c r="J105" s="4" t="n"/>
    </row>
    <row r="106">
      <c r="B106" s="6" t="n"/>
      <c r="D106" s="2" t="n"/>
      <c r="E106" s="14" t="n"/>
      <c r="F106" s="14" t="n"/>
      <c r="G106" s="2" t="n"/>
      <c r="H106" s="9" t="n"/>
      <c r="I106" s="4" t="n"/>
      <c r="J106" s="4" t="n"/>
    </row>
    <row r="107">
      <c r="B107" s="6" t="n"/>
      <c r="D107" s="2" t="n"/>
      <c r="E107" s="14" t="n"/>
      <c r="F107" s="14" t="n"/>
      <c r="G107" s="2" t="n"/>
      <c r="H107" s="9" t="n"/>
      <c r="I107" s="4" t="n"/>
      <c r="J107" s="4" t="n"/>
    </row>
    <row r="108">
      <c r="B108" s="6" t="n"/>
      <c r="D108" s="2" t="n"/>
      <c r="E108" s="14" t="n"/>
      <c r="F108" s="14" t="n"/>
      <c r="G108" s="2" t="n"/>
      <c r="H108" s="9" t="n"/>
      <c r="I108" s="4" t="n"/>
      <c r="J108" s="4" t="n"/>
    </row>
    <row r="109">
      <c r="B109" s="6" t="n"/>
      <c r="D109" s="2" t="n"/>
      <c r="E109" s="14" t="n"/>
      <c r="F109" s="14" t="n"/>
      <c r="G109" s="2" t="n"/>
      <c r="H109" s="9" t="n"/>
      <c r="I109" s="4" t="n"/>
      <c r="J109" s="4" t="n"/>
    </row>
    <row r="110">
      <c r="B110" s="6" t="n"/>
      <c r="D110" s="2" t="n"/>
      <c r="E110" s="14" t="n"/>
      <c r="F110" s="14" t="n"/>
      <c r="G110" s="2" t="n"/>
      <c r="H110" s="9" t="n"/>
      <c r="I110" s="4" t="n"/>
      <c r="J110" s="4" t="n"/>
    </row>
    <row r="111">
      <c r="B111" s="6" t="n"/>
      <c r="D111" s="2" t="n"/>
      <c r="E111" s="14" t="n"/>
      <c r="F111" s="14" t="n"/>
      <c r="G111" s="2" t="n"/>
      <c r="H111" s="9" t="n"/>
      <c r="I111" s="4" t="n"/>
      <c r="J111" s="4" t="n"/>
    </row>
    <row r="112">
      <c r="B112" s="6" t="n"/>
      <c r="D112" s="2" t="n"/>
      <c r="E112" s="14" t="n"/>
      <c r="F112" s="14" t="n"/>
      <c r="G112" s="2" t="n"/>
      <c r="H112" s="9" t="n"/>
      <c r="I112" s="4" t="n"/>
      <c r="J112" s="4" t="n"/>
    </row>
    <row r="113">
      <c r="B113" s="6" t="n"/>
      <c r="D113" s="2" t="n"/>
      <c r="E113" s="14" t="n"/>
      <c r="F113" s="14" t="n"/>
      <c r="G113" s="2" t="n"/>
      <c r="H113" s="9" t="n"/>
      <c r="I113" s="4" t="n"/>
      <c r="J113" s="4" t="n"/>
    </row>
    <row r="114">
      <c r="B114" s="6" t="n"/>
      <c r="D114" s="2" t="n"/>
      <c r="E114" s="14" t="n"/>
      <c r="F114" s="14" t="n"/>
      <c r="G114" s="2" t="n"/>
      <c r="H114" s="9" t="n"/>
      <c r="I114" s="4" t="n"/>
      <c r="J114" s="4" t="n"/>
    </row>
    <row r="115">
      <c r="B115" s="6" t="n"/>
      <c r="D115" s="2" t="n"/>
      <c r="E115" s="14" t="n"/>
      <c r="F115" s="14" t="n"/>
      <c r="G115" s="2" t="n"/>
      <c r="H115" s="9" t="n"/>
      <c r="I115" s="4" t="n"/>
      <c r="J115" s="4" t="n"/>
    </row>
    <row r="116">
      <c r="B116" s="6" t="n"/>
      <c r="D116" s="2" t="n"/>
      <c r="E116" s="14" t="n"/>
      <c r="F116" s="14" t="n"/>
      <c r="G116" s="2" t="n"/>
      <c r="H116" s="9" t="n"/>
      <c r="I116" s="4" t="n"/>
      <c r="J116" s="4" t="n"/>
    </row>
    <row r="117">
      <c r="B117" s="6" t="n"/>
      <c r="D117" s="2" t="n"/>
      <c r="E117" s="14" t="n"/>
      <c r="F117" s="14" t="n"/>
      <c r="G117" s="2" t="n"/>
      <c r="H117" s="9" t="n"/>
      <c r="I117" s="4" t="n"/>
      <c r="J117" s="4" t="n"/>
    </row>
    <row r="118">
      <c r="B118" s="6" t="n"/>
      <c r="D118" s="2" t="n"/>
      <c r="E118" s="14" t="n"/>
      <c r="F118" s="14" t="n"/>
      <c r="G118" s="2" t="n"/>
      <c r="H118" s="9" t="n"/>
      <c r="I118" s="4" t="n"/>
      <c r="J118" s="4" t="n"/>
    </row>
    <row r="119">
      <c r="B119" s="6" t="n"/>
      <c r="D119" s="2" t="n"/>
      <c r="E119" s="14" t="n"/>
      <c r="F119" s="14" t="n"/>
      <c r="G119" s="2" t="n"/>
      <c r="H119" s="9" t="n"/>
      <c r="I119" s="4" t="n"/>
      <c r="J119" s="4" t="n"/>
    </row>
    <row r="120">
      <c r="B120" s="6" t="n"/>
      <c r="D120" s="2" t="n"/>
      <c r="E120" s="14" t="n"/>
      <c r="F120" s="14" t="n"/>
      <c r="G120" s="2" t="n"/>
      <c r="H120" s="9" t="n"/>
      <c r="I120" s="4" t="n"/>
      <c r="J120" s="4" t="n"/>
    </row>
    <row r="121">
      <c r="B121" s="6" t="n"/>
      <c r="D121" s="2" t="n"/>
      <c r="E121" s="14" t="n"/>
      <c r="F121" s="14" t="n"/>
      <c r="G121" s="2" t="n"/>
      <c r="H121" s="9" t="n"/>
      <c r="I121" s="4" t="n"/>
      <c r="J121" s="4" t="n"/>
    </row>
    <row r="122">
      <c r="B122" s="6" t="n"/>
      <c r="D122" s="2" t="n"/>
      <c r="E122" s="14" t="n"/>
      <c r="F122" s="14" t="n"/>
      <c r="G122" s="2" t="n"/>
      <c r="H122" s="9" t="n"/>
      <c r="I122" s="4" t="n"/>
      <c r="J122" s="4" t="n"/>
    </row>
  </sheetData>
  <autoFilter ref="A1:K122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2"/>
  <sheetViews>
    <sheetView zoomScaleNormal="100" workbookViewId="0">
      <selection activeCell="H15" sqref="H15"/>
    </sheetView>
  </sheetViews>
  <sheetFormatPr baseColWidth="8" defaultRowHeight="14.5"/>
  <cols>
    <col width="25.08984375" customWidth="1" style="7" min="1" max="1"/>
    <col width="41" customWidth="1" style="7" min="2" max="2"/>
    <col width="36.54296875" customWidth="1" min="3" max="3"/>
    <col width="50.1796875" customWidth="1" min="4" max="4"/>
    <col width="25.08984375" customWidth="1" min="5" max="10"/>
    <col width="13.1796875" customWidth="1" min="11" max="11"/>
  </cols>
  <sheetData>
    <row r="1">
      <c r="A1" s="15" t="inlineStr">
        <is>
          <t>Old System NUMBER</t>
        </is>
      </c>
      <c r="B1" s="5" t="inlineStr">
        <is>
          <t>Odoo Number</t>
        </is>
      </c>
      <c r="C1" s="15" t="inlineStr">
        <is>
          <t>Partner</t>
        </is>
      </c>
      <c r="D1" s="15" t="inlineStr">
        <is>
          <t>Invoice/Bill Date</t>
        </is>
      </c>
      <c r="E1" s="15" t="inlineStr">
        <is>
          <t>Due Date (only if 'Partner' has no PMT TERMS)</t>
        </is>
      </c>
      <c r="F1" s="1" t="inlineStr">
        <is>
          <t>Reference</t>
        </is>
      </c>
      <c r="G1" s="15" t="inlineStr">
        <is>
          <t>Invoice Lines / Unit Price</t>
        </is>
      </c>
      <c r="H1" s="1" t="inlineStr">
        <is>
          <t>Invoice Lines / Account</t>
        </is>
      </c>
      <c r="I1" s="1" t="inlineStr">
        <is>
          <t>Invoice Lines / Label</t>
        </is>
      </c>
      <c r="J1" s="1" t="inlineStr">
        <is>
          <t>Currency</t>
        </is>
      </c>
      <c r="K1" s="1" t="inlineStr">
        <is>
          <t>Journal</t>
        </is>
      </c>
    </row>
    <row r="2">
      <c r="A2" s="6" t="n"/>
      <c r="B2" s="6" t="n"/>
      <c r="C2" s="2" t="n"/>
      <c r="D2" s="10" t="n"/>
      <c r="E2" s="12" t="n"/>
      <c r="F2" s="2" t="n"/>
      <c r="G2" s="8" t="n"/>
      <c r="H2" s="3" t="n"/>
      <c r="I2" s="4" t="n"/>
    </row>
    <row r="3">
      <c r="A3" s="6" t="n"/>
      <c r="B3" s="6" t="n"/>
      <c r="C3" s="2" t="n"/>
      <c r="D3" s="2" t="n"/>
      <c r="E3" s="13" t="n"/>
      <c r="F3" s="13" t="n"/>
      <c r="G3" s="2" t="n"/>
      <c r="H3" s="8" t="n"/>
      <c r="I3" s="4" t="n"/>
      <c r="J3" s="4" t="n"/>
    </row>
    <row r="4">
      <c r="B4" s="6" t="n"/>
      <c r="D4" s="2" t="n"/>
      <c r="E4" s="14" t="n"/>
      <c r="F4" s="14" t="n"/>
      <c r="G4" s="2" t="n"/>
      <c r="H4" s="9" t="n"/>
      <c r="I4" s="4" t="n"/>
      <c r="J4" s="4" t="n"/>
    </row>
    <row r="5">
      <c r="B5" s="6" t="n"/>
      <c r="D5" s="2" t="n"/>
      <c r="E5" s="14" t="n"/>
      <c r="F5" s="14" t="n"/>
      <c r="G5" s="2" t="n"/>
      <c r="H5" s="9" t="n"/>
      <c r="I5" s="4" t="n"/>
      <c r="J5" s="4" t="n"/>
    </row>
    <row r="6">
      <c r="B6" s="6" t="n"/>
      <c r="D6" s="2" t="n"/>
      <c r="E6" s="14" t="n"/>
      <c r="F6" s="14" t="n"/>
      <c r="G6" s="2" t="n"/>
      <c r="H6" s="9" t="n"/>
      <c r="I6" s="4" t="n"/>
      <c r="J6" s="4" t="n"/>
    </row>
    <row r="7">
      <c r="B7" s="6" t="n"/>
      <c r="D7" s="2" t="n"/>
      <c r="E7" s="14" t="n"/>
      <c r="F7" s="14" t="n"/>
      <c r="G7" s="2" t="n"/>
      <c r="H7" s="9" t="n"/>
      <c r="I7" s="4" t="n"/>
      <c r="J7" s="4" t="n"/>
    </row>
    <row r="8">
      <c r="B8" s="6" t="n"/>
      <c r="D8" s="2" t="n"/>
      <c r="E8" s="14" t="n"/>
      <c r="F8" s="14" t="n"/>
      <c r="G8" s="2" t="n"/>
      <c r="H8" s="9" t="n"/>
      <c r="I8" s="4" t="n"/>
      <c r="J8" s="4" t="n"/>
    </row>
    <row r="9">
      <c r="B9" s="6" t="n"/>
      <c r="D9" s="2" t="n"/>
      <c r="E9" s="14" t="n"/>
      <c r="F9" s="14" t="n"/>
      <c r="G9" s="2" t="n"/>
      <c r="H9" s="9" t="n"/>
      <c r="I9" s="4" t="n"/>
      <c r="J9" s="4" t="n"/>
    </row>
    <row r="10">
      <c r="B10" s="6" t="n"/>
      <c r="D10" s="2" t="n"/>
      <c r="E10" s="14" t="n"/>
      <c r="F10" s="14" t="n"/>
      <c r="G10" s="2" t="n"/>
      <c r="H10" s="9" t="n"/>
      <c r="I10" s="4" t="n"/>
      <c r="J10" s="4" t="n"/>
    </row>
    <row r="11">
      <c r="B11" s="6" t="n"/>
      <c r="D11" s="2" t="n"/>
      <c r="E11" s="14" t="n"/>
      <c r="F11" s="14" t="n"/>
      <c r="G11" s="2" t="n"/>
      <c r="H11" s="9" t="n"/>
      <c r="I11" s="4" t="n"/>
      <c r="J11" s="4" t="n"/>
    </row>
    <row r="12">
      <c r="B12" s="6" t="n"/>
      <c r="D12" s="2" t="n"/>
      <c r="E12" s="14" t="n"/>
      <c r="F12" s="14" t="n"/>
      <c r="G12" s="2" t="n"/>
      <c r="H12" s="9" t="n"/>
      <c r="I12" s="4" t="n"/>
      <c r="J12" s="4" t="n"/>
    </row>
    <row r="13">
      <c r="B13" s="6" t="n"/>
      <c r="D13" s="2" t="n"/>
      <c r="E13" s="14" t="n"/>
      <c r="F13" s="14" t="n"/>
      <c r="G13" s="2" t="n"/>
      <c r="H13" s="9" t="n"/>
      <c r="I13" s="4" t="n"/>
      <c r="J13" s="4" t="n"/>
    </row>
    <row r="14">
      <c r="B14" s="6" t="n"/>
      <c r="D14" s="2" t="n"/>
      <c r="E14" s="14" t="n"/>
      <c r="F14" s="14" t="n"/>
      <c r="G14" s="2" t="n"/>
      <c r="H14" s="9" t="n"/>
      <c r="I14" s="4" t="n"/>
      <c r="J14" s="4" t="n"/>
    </row>
    <row r="15">
      <c r="B15" s="6" t="n"/>
      <c r="D15" s="2" t="n"/>
      <c r="E15" s="14" t="n"/>
      <c r="F15" s="14" t="n"/>
      <c r="G15" s="2" t="n"/>
      <c r="H15" s="9" t="n"/>
      <c r="I15" s="4" t="n"/>
      <c r="J15" s="4" t="n"/>
    </row>
    <row r="16">
      <c r="B16" s="6" t="n"/>
      <c r="D16" s="2" t="n"/>
      <c r="E16" s="14" t="n"/>
      <c r="F16" s="14" t="n"/>
      <c r="G16" s="2" t="n"/>
      <c r="H16" s="9" t="n"/>
      <c r="I16" s="4" t="n"/>
      <c r="J16" s="4" t="n"/>
    </row>
    <row r="17">
      <c r="B17" s="6" t="n"/>
      <c r="D17" s="2" t="n"/>
      <c r="E17" s="14" t="n"/>
      <c r="F17" s="14" t="n"/>
      <c r="G17" s="2" t="n"/>
      <c r="H17" s="9" t="n"/>
      <c r="I17" s="4" t="n"/>
      <c r="J17" s="4" t="n"/>
    </row>
    <row r="18">
      <c r="B18" s="6" t="n"/>
      <c r="D18" s="2" t="n"/>
      <c r="E18" s="14" t="n"/>
      <c r="F18" s="14" t="n"/>
      <c r="G18" s="2" t="n"/>
      <c r="H18" s="9" t="n"/>
      <c r="I18" s="4" t="n"/>
      <c r="J18" s="4" t="n"/>
    </row>
    <row r="19">
      <c r="B19" s="6" t="n"/>
      <c r="D19" s="2" t="n"/>
      <c r="E19" s="14" t="n"/>
      <c r="F19" s="14" t="n"/>
      <c r="G19" s="2" t="n"/>
      <c r="H19" s="9" t="n"/>
      <c r="I19" s="4" t="n"/>
      <c r="J19" s="4" t="n"/>
    </row>
    <row r="20">
      <c r="B20" s="6" t="n"/>
      <c r="D20" s="2" t="n"/>
      <c r="E20" s="14" t="n"/>
      <c r="F20" s="14" t="n"/>
      <c r="G20" s="2" t="n"/>
      <c r="H20" s="9" t="n"/>
      <c r="I20" s="4" t="n"/>
      <c r="J20" s="4" t="n"/>
    </row>
    <row r="21">
      <c r="B21" s="6" t="n"/>
      <c r="D21" s="2" t="n"/>
      <c r="E21" s="14" t="n"/>
      <c r="F21" s="14" t="n"/>
      <c r="G21" s="2" t="n"/>
      <c r="H21" s="9" t="n"/>
      <c r="I21" s="4" t="n"/>
      <c r="J21" s="4" t="n"/>
    </row>
    <row r="22">
      <c r="B22" s="6" t="n"/>
      <c r="D22" s="2" t="n"/>
      <c r="E22" s="14" t="n"/>
      <c r="F22" s="14" t="n"/>
      <c r="G22" s="2" t="n"/>
      <c r="H22" s="9" t="n"/>
      <c r="I22" s="4" t="n"/>
      <c r="J22" s="4" t="n"/>
    </row>
    <row r="23">
      <c r="B23" s="6" t="n"/>
      <c r="D23" s="2" t="n"/>
      <c r="E23" s="14" t="n"/>
      <c r="F23" s="14" t="n"/>
      <c r="G23" s="2" t="n"/>
      <c r="H23" s="9" t="n"/>
      <c r="I23" s="4" t="n"/>
      <c r="J23" s="4" t="n"/>
    </row>
    <row r="24">
      <c r="B24" s="6" t="n"/>
      <c r="D24" s="2" t="n"/>
      <c r="E24" s="14" t="n"/>
      <c r="F24" s="14" t="n"/>
      <c r="G24" s="2" t="n"/>
      <c r="H24" s="9" t="n"/>
      <c r="I24" s="4" t="n"/>
      <c r="J24" s="4" t="n"/>
    </row>
    <row r="25">
      <c r="B25" s="6" t="n"/>
      <c r="D25" s="2" t="n"/>
      <c r="E25" s="14" t="n"/>
      <c r="F25" s="14" t="n"/>
      <c r="G25" s="2" t="n"/>
      <c r="H25" s="9" t="n"/>
      <c r="I25" s="4" t="n"/>
      <c r="J25" s="4" t="n"/>
    </row>
    <row r="26">
      <c r="B26" s="6" t="n"/>
      <c r="D26" s="2" t="n"/>
      <c r="E26" s="14" t="n"/>
      <c r="F26" s="14" t="n"/>
      <c r="G26" s="2" t="n"/>
      <c r="H26" s="9" t="n"/>
      <c r="I26" s="4" t="n"/>
      <c r="J26" s="4" t="n"/>
    </row>
    <row r="27">
      <c r="B27" s="6" t="n"/>
      <c r="D27" s="2" t="n"/>
      <c r="E27" s="14" t="n"/>
      <c r="F27" s="14" t="n"/>
      <c r="G27" s="2" t="n"/>
      <c r="H27" s="9" t="n"/>
      <c r="I27" s="4" t="n"/>
      <c r="J27" s="4" t="n"/>
    </row>
    <row r="28">
      <c r="B28" s="6" t="n"/>
      <c r="D28" s="2" t="n"/>
      <c r="E28" s="14" t="n"/>
      <c r="F28" s="14" t="n"/>
      <c r="G28" s="2" t="n"/>
      <c r="H28" s="9" t="n"/>
      <c r="I28" s="4" t="n"/>
      <c r="J28" s="4" t="n"/>
    </row>
    <row r="29">
      <c r="B29" s="6" t="n"/>
      <c r="D29" s="2" t="n"/>
      <c r="E29" s="14" t="n"/>
      <c r="F29" s="14" t="n"/>
      <c r="G29" s="2" t="n"/>
      <c r="H29" s="9" t="n"/>
      <c r="I29" s="4" t="n"/>
      <c r="J29" s="4" t="n"/>
    </row>
    <row r="30">
      <c r="B30" s="6" t="n"/>
      <c r="D30" s="2" t="n"/>
      <c r="E30" s="14" t="n"/>
      <c r="F30" s="14" t="n"/>
      <c r="G30" s="2" t="n"/>
      <c r="H30" s="9" t="n"/>
      <c r="I30" s="4" t="n"/>
      <c r="J30" s="4" t="n"/>
    </row>
    <row r="31">
      <c r="B31" s="6" t="n"/>
      <c r="D31" s="2" t="n"/>
      <c r="E31" s="14" t="n"/>
      <c r="F31" s="14" t="n"/>
      <c r="G31" s="2" t="n"/>
      <c r="H31" s="9" t="n"/>
      <c r="I31" s="4" t="n"/>
      <c r="J31" s="4" t="n"/>
    </row>
    <row r="32">
      <c r="B32" s="6" t="n"/>
      <c r="D32" s="2" t="n"/>
      <c r="E32" s="14" t="n"/>
      <c r="F32" s="14" t="n"/>
      <c r="G32" s="2" t="n"/>
      <c r="H32" s="9" t="n"/>
      <c r="I32" s="4" t="n"/>
      <c r="J32" s="4" t="n"/>
    </row>
    <row r="33">
      <c r="B33" s="6" t="n"/>
      <c r="D33" s="2" t="n"/>
      <c r="E33" s="14" t="n"/>
      <c r="F33" s="14" t="n"/>
      <c r="G33" s="2" t="n"/>
      <c r="H33" s="9" t="n"/>
      <c r="I33" s="4" t="n"/>
      <c r="J33" s="4" t="n"/>
    </row>
    <row r="34">
      <c r="B34" s="6" t="n"/>
      <c r="D34" s="2" t="n"/>
      <c r="E34" s="14" t="n"/>
      <c r="F34" s="14" t="n"/>
      <c r="G34" s="2" t="n"/>
      <c r="H34" s="9" t="n"/>
      <c r="I34" s="4" t="n"/>
      <c r="J34" s="4" t="n"/>
    </row>
    <row r="35">
      <c r="B35" s="6" t="n"/>
      <c r="D35" s="2" t="n"/>
      <c r="E35" s="14" t="n"/>
      <c r="F35" s="14" t="n"/>
      <c r="G35" s="2" t="n"/>
      <c r="H35" s="9" t="n"/>
      <c r="I35" s="4" t="n"/>
      <c r="J35" s="4" t="n"/>
    </row>
    <row r="36">
      <c r="B36" s="6" t="n"/>
      <c r="D36" s="2" t="n"/>
      <c r="E36" s="14" t="n"/>
      <c r="F36" s="14" t="n"/>
      <c r="G36" s="2" t="n"/>
      <c r="H36" s="9" t="n"/>
      <c r="I36" s="4" t="n"/>
      <c r="J36" s="4" t="n"/>
    </row>
    <row r="37">
      <c r="B37" s="6" t="n"/>
      <c r="D37" s="2" t="n"/>
      <c r="E37" s="14" t="n"/>
      <c r="F37" s="14" t="n"/>
      <c r="G37" s="2" t="n"/>
      <c r="H37" s="9" t="n"/>
      <c r="I37" s="4" t="n"/>
      <c r="J37" s="4" t="n"/>
    </row>
    <row r="38">
      <c r="B38" s="6" t="n"/>
      <c r="D38" s="2" t="n"/>
      <c r="E38" s="14" t="n"/>
      <c r="F38" s="14" t="n"/>
      <c r="G38" s="2" t="n"/>
      <c r="H38" s="9" t="n"/>
      <c r="I38" s="4" t="n"/>
      <c r="J38" s="4" t="n"/>
    </row>
    <row r="39">
      <c r="B39" s="6" t="n"/>
      <c r="D39" s="2" t="n"/>
      <c r="E39" s="14" t="n"/>
      <c r="F39" s="14" t="n"/>
      <c r="G39" s="2" t="n"/>
      <c r="H39" s="9" t="n"/>
      <c r="I39" s="4" t="n"/>
      <c r="J39" s="4" t="n"/>
    </row>
    <row r="40">
      <c r="B40" s="6" t="n"/>
      <c r="D40" s="2" t="n"/>
      <c r="E40" s="14" t="n"/>
      <c r="F40" s="14" t="n"/>
      <c r="G40" s="2" t="n"/>
      <c r="H40" s="9" t="n"/>
      <c r="I40" s="4" t="n"/>
      <c r="J40" s="4" t="n"/>
    </row>
    <row r="41">
      <c r="B41" s="6" t="n"/>
      <c r="D41" s="2" t="n"/>
      <c r="E41" s="14" t="n"/>
      <c r="F41" s="14" t="n"/>
      <c r="G41" s="2" t="n"/>
      <c r="H41" s="9" t="n"/>
      <c r="I41" s="4" t="n"/>
      <c r="J41" s="4" t="n"/>
    </row>
    <row r="42">
      <c r="B42" s="6" t="n"/>
      <c r="D42" s="2" t="n"/>
      <c r="E42" s="14" t="n"/>
      <c r="F42" s="14" t="n"/>
      <c r="G42" s="2" t="n"/>
      <c r="H42" s="9" t="n"/>
      <c r="I42" s="4" t="n"/>
      <c r="J42" s="4" t="n"/>
    </row>
    <row r="43">
      <c r="B43" s="6" t="n"/>
      <c r="D43" s="2" t="n"/>
      <c r="E43" s="14" t="n"/>
      <c r="F43" s="14" t="n"/>
      <c r="G43" s="2" t="n"/>
      <c r="H43" s="9" t="n"/>
      <c r="I43" s="4" t="n"/>
      <c r="J43" s="4" t="n"/>
    </row>
    <row r="44">
      <c r="B44" s="6" t="n"/>
      <c r="D44" s="2" t="n"/>
      <c r="E44" s="14" t="n"/>
      <c r="F44" s="14" t="n"/>
      <c r="G44" s="2" t="n"/>
      <c r="H44" s="9" t="n"/>
      <c r="I44" s="4" t="n"/>
      <c r="J44" s="4" t="n"/>
    </row>
    <row r="45">
      <c r="B45" s="6" t="n"/>
      <c r="D45" s="2" t="n"/>
      <c r="E45" s="14" t="n"/>
      <c r="F45" s="14" t="n"/>
      <c r="G45" s="2" t="n"/>
      <c r="H45" s="9" t="n"/>
      <c r="I45" s="4" t="n"/>
      <c r="J45" s="4" t="n"/>
    </row>
    <row r="46">
      <c r="B46" s="6" t="n"/>
      <c r="D46" s="2" t="n"/>
      <c r="E46" s="14" t="n"/>
      <c r="F46" s="14" t="n"/>
      <c r="G46" s="2" t="n"/>
      <c r="H46" s="9" t="n"/>
      <c r="I46" s="4" t="n"/>
      <c r="J46" s="4" t="n"/>
    </row>
    <row r="47">
      <c r="B47" s="6" t="n"/>
      <c r="D47" s="2" t="n"/>
      <c r="E47" s="14" t="n"/>
      <c r="F47" s="14" t="n"/>
      <c r="G47" s="2" t="n"/>
      <c r="H47" s="9" t="n"/>
      <c r="I47" s="4" t="n"/>
      <c r="J47" s="4" t="n"/>
    </row>
    <row r="48">
      <c r="B48" s="6" t="n"/>
      <c r="D48" s="2" t="n"/>
      <c r="E48" s="14" t="n"/>
      <c r="F48" s="14" t="n"/>
      <c r="G48" s="2" t="n"/>
      <c r="H48" s="9" t="n"/>
      <c r="I48" s="4" t="n"/>
      <c r="J48" s="4" t="n"/>
    </row>
    <row r="49">
      <c r="B49" s="6" t="n"/>
      <c r="D49" s="2" t="n"/>
      <c r="E49" s="14" t="n"/>
      <c r="F49" s="14" t="n"/>
      <c r="G49" s="2" t="n"/>
      <c r="H49" s="9" t="n"/>
      <c r="I49" s="4" t="n"/>
      <c r="J49" s="4" t="n"/>
    </row>
    <row r="50">
      <c r="B50" s="6" t="n"/>
      <c r="D50" s="2" t="n"/>
      <c r="E50" s="14" t="n"/>
      <c r="F50" s="14" t="n"/>
      <c r="G50" s="2" t="n"/>
      <c r="H50" s="9" t="n"/>
      <c r="I50" s="4" t="n"/>
      <c r="J50" s="4" t="n"/>
    </row>
    <row r="51">
      <c r="B51" s="6" t="n"/>
      <c r="D51" s="2" t="n"/>
      <c r="E51" s="14" t="n"/>
      <c r="F51" s="14" t="n"/>
      <c r="G51" s="2" t="n"/>
      <c r="H51" s="9" t="n"/>
      <c r="I51" s="4" t="n"/>
      <c r="J51" s="4" t="n"/>
    </row>
    <row r="52">
      <c r="B52" s="6" t="n"/>
      <c r="D52" s="2" t="n"/>
      <c r="E52" s="14" t="n"/>
      <c r="F52" s="14" t="n"/>
      <c r="G52" s="2" t="n"/>
      <c r="H52" s="9" t="n"/>
      <c r="I52" s="4" t="n"/>
      <c r="J52" s="4" t="n"/>
    </row>
    <row r="53">
      <c r="B53" s="6" t="n"/>
      <c r="D53" s="2" t="n"/>
      <c r="E53" s="14" t="n"/>
      <c r="F53" s="14" t="n"/>
      <c r="G53" s="2" t="n"/>
      <c r="H53" s="9" t="n"/>
      <c r="I53" s="4" t="n"/>
      <c r="J53" s="4" t="n"/>
    </row>
    <row r="54">
      <c r="B54" s="6" t="n"/>
      <c r="D54" s="2" t="n"/>
      <c r="E54" s="14" t="n"/>
      <c r="F54" s="14" t="n"/>
      <c r="G54" s="2" t="n"/>
      <c r="H54" s="9" t="n"/>
      <c r="I54" s="4" t="n"/>
      <c r="J54" s="4" t="n"/>
    </row>
    <row r="55">
      <c r="B55" s="6" t="n"/>
      <c r="D55" s="2" t="n"/>
      <c r="E55" s="14" t="n"/>
      <c r="F55" s="14" t="n"/>
      <c r="G55" s="2" t="n"/>
      <c r="H55" s="9" t="n"/>
      <c r="I55" s="4" t="n"/>
      <c r="J55" s="4" t="n"/>
    </row>
    <row r="56">
      <c r="B56" s="6" t="n"/>
      <c r="D56" s="2" t="n"/>
      <c r="E56" s="14" t="n"/>
      <c r="F56" s="14" t="n"/>
      <c r="G56" s="2" t="n"/>
      <c r="H56" s="9" t="n"/>
      <c r="I56" s="4" t="n"/>
      <c r="J56" s="4" t="n"/>
    </row>
    <row r="57">
      <c r="B57" s="6" t="n"/>
      <c r="D57" s="2" t="n"/>
      <c r="E57" s="14" t="n"/>
      <c r="F57" s="14" t="n"/>
      <c r="G57" s="2" t="n"/>
      <c r="H57" s="9" t="n"/>
      <c r="I57" s="4" t="n"/>
      <c r="J57" s="4" t="n"/>
    </row>
    <row r="58">
      <c r="B58" s="6" t="n"/>
      <c r="D58" s="2" t="n"/>
      <c r="E58" s="14" t="n"/>
      <c r="F58" s="14" t="n"/>
      <c r="G58" s="2" t="n"/>
      <c r="H58" s="9" t="n"/>
      <c r="I58" s="4" t="n"/>
      <c r="J58" s="4" t="n"/>
    </row>
    <row r="59">
      <c r="B59" s="6" t="n"/>
      <c r="D59" s="2" t="n"/>
      <c r="E59" s="14" t="n"/>
      <c r="F59" s="14" t="n"/>
      <c r="G59" s="2" t="n"/>
      <c r="H59" s="9" t="n"/>
      <c r="I59" s="4" t="n"/>
      <c r="J59" s="4" t="n"/>
    </row>
    <row r="60">
      <c r="B60" s="6" t="n"/>
      <c r="D60" s="2" t="n"/>
      <c r="E60" s="14" t="n"/>
      <c r="F60" s="14" t="n"/>
      <c r="G60" s="2" t="n"/>
      <c r="H60" s="9" t="n"/>
      <c r="I60" s="4" t="n"/>
      <c r="J60" s="4" t="n"/>
    </row>
    <row r="61">
      <c r="B61" s="6" t="n"/>
      <c r="D61" s="2" t="n"/>
      <c r="E61" s="14" t="n"/>
      <c r="F61" s="14" t="n"/>
      <c r="G61" s="2" t="n"/>
      <c r="H61" s="9" t="n"/>
      <c r="I61" s="4" t="n"/>
      <c r="J61" s="4" t="n"/>
    </row>
    <row r="62">
      <c r="B62" s="6" t="n"/>
      <c r="D62" s="2" t="n"/>
      <c r="E62" s="14" t="n"/>
      <c r="F62" s="14" t="n"/>
      <c r="G62" s="2" t="n"/>
      <c r="H62" s="9" t="n"/>
      <c r="I62" s="4" t="n"/>
      <c r="J62" s="4" t="n"/>
    </row>
    <row r="63">
      <c r="B63" s="6" t="n"/>
      <c r="D63" s="2" t="n"/>
      <c r="E63" s="14" t="n"/>
      <c r="F63" s="14" t="n"/>
      <c r="G63" s="2" t="n"/>
      <c r="H63" s="9" t="n"/>
      <c r="I63" s="4" t="n"/>
      <c r="J63" s="4" t="n"/>
    </row>
    <row r="64">
      <c r="B64" s="6" t="n"/>
      <c r="D64" s="2" t="n"/>
      <c r="E64" s="14" t="n"/>
      <c r="F64" s="14" t="n"/>
      <c r="G64" s="2" t="n"/>
      <c r="H64" s="9" t="n"/>
      <c r="I64" s="4" t="n"/>
      <c r="J64" s="4" t="n"/>
    </row>
    <row r="65">
      <c r="B65" s="6" t="n"/>
      <c r="D65" s="2" t="n"/>
      <c r="E65" s="14" t="n"/>
      <c r="F65" s="14" t="n"/>
      <c r="G65" s="2" t="n"/>
      <c r="H65" s="9" t="n"/>
      <c r="I65" s="4" t="n"/>
      <c r="J65" s="4" t="n"/>
    </row>
    <row r="66">
      <c r="B66" s="6" t="n"/>
      <c r="D66" s="2" t="n"/>
      <c r="E66" s="14" t="n"/>
      <c r="F66" s="14" t="n"/>
      <c r="G66" s="2" t="n"/>
      <c r="H66" s="9" t="n"/>
      <c r="I66" s="4" t="n"/>
      <c r="J66" s="4" t="n"/>
    </row>
    <row r="67">
      <c r="B67" s="6" t="n"/>
      <c r="D67" s="2" t="n"/>
      <c r="E67" s="14" t="n"/>
      <c r="F67" s="14" t="n"/>
      <c r="G67" s="2" t="n"/>
      <c r="H67" s="9" t="n"/>
      <c r="I67" s="4" t="n"/>
      <c r="J67" s="4" t="n"/>
    </row>
    <row r="68">
      <c r="B68" s="6" t="n"/>
      <c r="D68" s="2" t="n"/>
      <c r="E68" s="14" t="n"/>
      <c r="F68" s="14" t="n"/>
      <c r="G68" s="2" t="n"/>
      <c r="H68" s="9" t="n"/>
      <c r="I68" s="4" t="n"/>
      <c r="J68" s="4" t="n"/>
    </row>
    <row r="69">
      <c r="B69" s="6" t="n"/>
      <c r="D69" s="2" t="n"/>
      <c r="E69" s="14" t="n"/>
      <c r="F69" s="14" t="n"/>
      <c r="G69" s="2" t="n"/>
      <c r="H69" s="9" t="n"/>
      <c r="I69" s="4" t="n"/>
      <c r="J69" s="4" t="n"/>
    </row>
    <row r="70">
      <c r="B70" s="6" t="n"/>
      <c r="D70" s="2" t="n"/>
      <c r="E70" s="14" t="n"/>
      <c r="F70" s="14" t="n"/>
      <c r="G70" s="2" t="n"/>
      <c r="H70" s="9" t="n"/>
      <c r="I70" s="4" t="n"/>
      <c r="J70" s="4" t="n"/>
    </row>
    <row r="71">
      <c r="B71" s="6" t="n"/>
      <c r="D71" s="2" t="n"/>
      <c r="E71" s="14" t="n"/>
      <c r="F71" s="14" t="n"/>
      <c r="G71" s="2" t="n"/>
      <c r="H71" s="9" t="n"/>
      <c r="I71" s="4" t="n"/>
      <c r="J71" s="4" t="n"/>
    </row>
    <row r="72">
      <c r="B72" s="6" t="n"/>
      <c r="D72" s="2" t="n"/>
      <c r="E72" s="14" t="n"/>
      <c r="F72" s="14" t="n"/>
      <c r="G72" s="2" t="n"/>
      <c r="H72" s="9" t="n"/>
      <c r="I72" s="4" t="n"/>
      <c r="J72" s="4" t="n"/>
    </row>
    <row r="73">
      <c r="B73" s="6" t="n"/>
      <c r="D73" s="2" t="n"/>
      <c r="E73" s="14" t="n"/>
      <c r="F73" s="14" t="n"/>
      <c r="G73" s="2" t="n"/>
      <c r="H73" s="9" t="n"/>
      <c r="I73" s="4" t="n"/>
      <c r="J73" s="4" t="n"/>
    </row>
    <row r="74">
      <c r="B74" s="6" t="n"/>
      <c r="D74" s="2" t="n"/>
      <c r="E74" s="14" t="n"/>
      <c r="F74" s="14" t="n"/>
      <c r="G74" s="2" t="n"/>
      <c r="H74" s="9" t="n"/>
      <c r="I74" s="4" t="n"/>
      <c r="J74" s="4" t="n"/>
    </row>
    <row r="75">
      <c r="B75" s="6" t="n"/>
      <c r="D75" s="2" t="n"/>
      <c r="E75" s="14" t="n"/>
      <c r="F75" s="14" t="n"/>
      <c r="G75" s="2" t="n"/>
      <c r="H75" s="9" t="n"/>
      <c r="I75" s="4" t="n"/>
      <c r="J75" s="4" t="n"/>
    </row>
    <row r="76">
      <c r="B76" s="6" t="n"/>
      <c r="D76" s="2" t="n"/>
      <c r="E76" s="14" t="n"/>
      <c r="F76" s="14" t="n"/>
      <c r="G76" s="2" t="n"/>
      <c r="H76" s="9" t="n"/>
      <c r="I76" s="4" t="n"/>
      <c r="J76" s="4" t="n"/>
    </row>
    <row r="77">
      <c r="B77" s="6" t="n"/>
      <c r="D77" s="2" t="n"/>
      <c r="E77" s="14" t="n"/>
      <c r="F77" s="14" t="n"/>
      <c r="G77" s="2" t="n"/>
      <c r="H77" s="9" t="n"/>
      <c r="I77" s="4" t="n"/>
      <c r="J77" s="4" t="n"/>
    </row>
    <row r="78">
      <c r="B78" s="6" t="n"/>
      <c r="D78" s="2" t="n"/>
      <c r="E78" s="14" t="n"/>
      <c r="F78" s="14" t="n"/>
      <c r="G78" s="2" t="n"/>
      <c r="H78" s="9" t="n"/>
      <c r="I78" s="4" t="n"/>
      <c r="J78" s="4" t="n"/>
    </row>
    <row r="79">
      <c r="B79" s="6" t="n"/>
      <c r="D79" s="2" t="n"/>
      <c r="E79" s="14" t="n"/>
      <c r="F79" s="14" t="n"/>
      <c r="G79" s="2" t="n"/>
      <c r="H79" s="9" t="n"/>
      <c r="I79" s="4" t="n"/>
      <c r="J79" s="4" t="n"/>
    </row>
    <row r="80">
      <c r="B80" s="6" t="n"/>
      <c r="D80" s="2" t="n"/>
      <c r="E80" s="14" t="n"/>
      <c r="F80" s="14" t="n"/>
      <c r="G80" s="2" t="n"/>
      <c r="H80" s="9" t="n"/>
      <c r="I80" s="4" t="n"/>
      <c r="J80" s="4" t="n"/>
    </row>
    <row r="81">
      <c r="B81" s="6" t="n"/>
      <c r="D81" s="2" t="n"/>
      <c r="E81" s="14" t="n"/>
      <c r="F81" s="14" t="n"/>
      <c r="G81" s="2" t="n"/>
      <c r="H81" s="9" t="n"/>
      <c r="I81" s="4" t="n"/>
      <c r="J81" s="4" t="n"/>
    </row>
    <row r="82">
      <c r="B82" s="6" t="n"/>
      <c r="D82" s="2" t="n"/>
      <c r="E82" s="14" t="n"/>
      <c r="F82" s="14" t="n"/>
      <c r="G82" s="2" t="n"/>
      <c r="H82" s="9" t="n"/>
      <c r="I82" s="4" t="n"/>
      <c r="J82" s="4" t="n"/>
    </row>
    <row r="83">
      <c r="B83" s="6" t="n"/>
      <c r="D83" s="2" t="n"/>
      <c r="E83" s="14" t="n"/>
      <c r="F83" s="14" t="n"/>
      <c r="G83" s="2" t="n"/>
      <c r="H83" s="9" t="n"/>
      <c r="I83" s="4" t="n"/>
      <c r="J83" s="4" t="n"/>
    </row>
    <row r="84">
      <c r="B84" s="6" t="n"/>
      <c r="D84" s="2" t="n"/>
      <c r="E84" s="14" t="n"/>
      <c r="F84" s="14" t="n"/>
      <c r="G84" s="2" t="n"/>
      <c r="H84" s="9" t="n"/>
      <c r="I84" s="4" t="n"/>
      <c r="J84" s="4" t="n"/>
    </row>
    <row r="85">
      <c r="B85" s="6" t="n"/>
      <c r="D85" s="2" t="n"/>
      <c r="E85" s="14" t="n"/>
      <c r="F85" s="14" t="n"/>
      <c r="G85" s="2" t="n"/>
      <c r="H85" s="9" t="n"/>
      <c r="I85" s="4" t="n"/>
      <c r="J85" s="4" t="n"/>
    </row>
    <row r="86">
      <c r="B86" s="6" t="n"/>
      <c r="D86" s="2" t="n"/>
      <c r="E86" s="14" t="n"/>
      <c r="F86" s="14" t="n"/>
      <c r="G86" s="2" t="n"/>
      <c r="H86" s="9" t="n"/>
      <c r="I86" s="4" t="n"/>
      <c r="J86" s="4" t="n"/>
    </row>
    <row r="87">
      <c r="B87" s="6" t="n"/>
      <c r="D87" s="2" t="n"/>
      <c r="E87" s="14" t="n"/>
      <c r="F87" s="14" t="n"/>
      <c r="G87" s="2" t="n"/>
      <c r="H87" s="9" t="n"/>
      <c r="I87" s="4" t="n"/>
      <c r="J87" s="4" t="n"/>
    </row>
    <row r="88">
      <c r="B88" s="6" t="n"/>
      <c r="D88" s="2" t="n"/>
      <c r="E88" s="14" t="n"/>
      <c r="F88" s="14" t="n"/>
      <c r="G88" s="2" t="n"/>
      <c r="H88" s="9" t="n"/>
      <c r="I88" s="4" t="n"/>
      <c r="J88" s="4" t="n"/>
    </row>
    <row r="89">
      <c r="B89" s="6" t="n"/>
      <c r="D89" s="2" t="n"/>
      <c r="E89" s="14" t="n"/>
      <c r="F89" s="14" t="n"/>
      <c r="G89" s="2" t="n"/>
      <c r="H89" s="9" t="n"/>
      <c r="I89" s="4" t="n"/>
      <c r="J89" s="4" t="n"/>
    </row>
    <row r="90">
      <c r="B90" s="6" t="n"/>
      <c r="D90" s="2" t="n"/>
      <c r="E90" s="14" t="n"/>
      <c r="F90" s="14" t="n"/>
      <c r="G90" s="2" t="n"/>
      <c r="H90" s="9" t="n"/>
      <c r="I90" s="4" t="n"/>
      <c r="J90" s="4" t="n"/>
    </row>
    <row r="91">
      <c r="B91" s="6" t="n"/>
      <c r="D91" s="2" t="n"/>
      <c r="E91" s="14" t="n"/>
      <c r="F91" s="14" t="n"/>
      <c r="G91" s="2" t="n"/>
      <c r="H91" s="9" t="n"/>
      <c r="I91" s="4" t="n"/>
      <c r="J91" s="4" t="n"/>
    </row>
    <row r="92">
      <c r="B92" s="6" t="n"/>
      <c r="D92" s="2" t="n"/>
      <c r="E92" s="14" t="n"/>
      <c r="F92" s="14" t="n"/>
      <c r="G92" s="2" t="n"/>
      <c r="H92" s="9" t="n"/>
      <c r="I92" s="4" t="n"/>
      <c r="J92" s="4" t="n"/>
    </row>
    <row r="93">
      <c r="B93" s="6" t="n"/>
      <c r="D93" s="2" t="n"/>
      <c r="E93" s="14" t="n"/>
      <c r="F93" s="14" t="n"/>
      <c r="G93" s="2" t="n"/>
      <c r="H93" s="9" t="n"/>
      <c r="I93" s="4" t="n"/>
      <c r="J93" s="4" t="n"/>
    </row>
    <row r="94">
      <c r="B94" s="6" t="n"/>
      <c r="D94" s="2" t="n"/>
      <c r="E94" s="14" t="n"/>
      <c r="F94" s="14" t="n"/>
      <c r="G94" s="2" t="n"/>
      <c r="H94" s="9" t="n"/>
      <c r="I94" s="4" t="n"/>
      <c r="J94" s="4" t="n"/>
    </row>
    <row r="95">
      <c r="B95" s="6" t="n"/>
      <c r="D95" s="2" t="n"/>
      <c r="E95" s="14" t="n"/>
      <c r="F95" s="14" t="n"/>
      <c r="G95" s="2" t="n"/>
      <c r="H95" s="9" t="n"/>
      <c r="I95" s="4" t="n"/>
      <c r="J95" s="4" t="n"/>
    </row>
    <row r="96">
      <c r="B96" s="6" t="n"/>
      <c r="D96" s="2" t="n"/>
      <c r="E96" s="14" t="n"/>
      <c r="F96" s="14" t="n"/>
      <c r="G96" s="2" t="n"/>
      <c r="H96" s="9" t="n"/>
      <c r="I96" s="4" t="n"/>
      <c r="J96" s="4" t="n"/>
    </row>
    <row r="97">
      <c r="B97" s="6" t="n"/>
      <c r="D97" s="2" t="n"/>
      <c r="E97" s="14" t="n"/>
      <c r="F97" s="14" t="n"/>
      <c r="G97" s="2" t="n"/>
      <c r="H97" s="9" t="n"/>
      <c r="I97" s="4" t="n"/>
      <c r="J97" s="4" t="n"/>
    </row>
    <row r="98">
      <c r="B98" s="6" t="n"/>
      <c r="D98" s="2" t="n"/>
      <c r="E98" s="14" t="n"/>
      <c r="F98" s="14" t="n"/>
      <c r="G98" s="2" t="n"/>
      <c r="H98" s="9" t="n"/>
      <c r="I98" s="4" t="n"/>
      <c r="J98" s="4" t="n"/>
    </row>
    <row r="99">
      <c r="B99" s="6" t="n"/>
      <c r="D99" s="2" t="n"/>
      <c r="E99" s="14" t="n"/>
      <c r="F99" s="14" t="n"/>
      <c r="G99" s="2" t="n"/>
      <c r="H99" s="9" t="n"/>
      <c r="I99" s="4" t="n"/>
      <c r="J99" s="4" t="n"/>
    </row>
    <row r="100">
      <c r="B100" s="6" t="n"/>
      <c r="D100" s="2" t="n"/>
      <c r="E100" s="14" t="n"/>
      <c r="F100" s="14" t="n"/>
      <c r="G100" s="2" t="n"/>
      <c r="H100" s="9" t="n"/>
      <c r="I100" s="4" t="n"/>
      <c r="J100" s="4" t="n"/>
    </row>
    <row r="101">
      <c r="B101" s="6" t="n"/>
      <c r="D101" s="2" t="n"/>
      <c r="E101" s="14" t="n"/>
      <c r="F101" s="14" t="n"/>
      <c r="G101" s="2" t="n"/>
      <c r="H101" s="9" t="n"/>
      <c r="I101" s="4" t="n"/>
      <c r="J101" s="4" t="n"/>
    </row>
    <row r="102">
      <c r="B102" s="6" t="n"/>
      <c r="D102" s="2" t="n"/>
      <c r="E102" s="14" t="n"/>
      <c r="F102" s="14" t="n"/>
      <c r="G102" s="2" t="n"/>
      <c r="H102" s="9" t="n"/>
      <c r="I102" s="4" t="n"/>
      <c r="J102" s="4" t="n"/>
    </row>
    <row r="103">
      <c r="B103" s="6" t="n"/>
      <c r="D103" s="2" t="n"/>
      <c r="E103" s="14" t="n"/>
      <c r="F103" s="14" t="n"/>
      <c r="G103" s="2" t="n"/>
      <c r="H103" s="9" t="n"/>
      <c r="I103" s="4" t="n"/>
      <c r="J103" s="4" t="n"/>
    </row>
    <row r="104">
      <c r="B104" s="6" t="n"/>
      <c r="D104" s="2" t="n"/>
      <c r="E104" s="14" t="n"/>
      <c r="F104" s="14" t="n"/>
      <c r="G104" s="2" t="n"/>
      <c r="H104" s="9" t="n"/>
      <c r="I104" s="4" t="n"/>
      <c r="J104" s="4" t="n"/>
    </row>
    <row r="105">
      <c r="B105" s="6" t="n"/>
      <c r="D105" s="2" t="n"/>
      <c r="E105" s="14" t="n"/>
      <c r="F105" s="14" t="n"/>
      <c r="G105" s="2" t="n"/>
      <c r="H105" s="9" t="n"/>
      <c r="I105" s="4" t="n"/>
      <c r="J105" s="4" t="n"/>
    </row>
    <row r="106">
      <c r="B106" s="6" t="n"/>
      <c r="D106" s="2" t="n"/>
      <c r="E106" s="14" t="n"/>
      <c r="F106" s="14" t="n"/>
      <c r="G106" s="2" t="n"/>
      <c r="H106" s="9" t="n"/>
      <c r="I106" s="4" t="n"/>
      <c r="J106" s="4" t="n"/>
    </row>
    <row r="107">
      <c r="B107" s="6" t="n"/>
      <c r="D107" s="2" t="n"/>
      <c r="E107" s="14" t="n"/>
      <c r="F107" s="14" t="n"/>
      <c r="G107" s="2" t="n"/>
      <c r="H107" s="9" t="n"/>
      <c r="I107" s="4" t="n"/>
      <c r="J107" s="4" t="n"/>
    </row>
    <row r="108">
      <c r="B108" s="6" t="n"/>
      <c r="D108" s="2" t="n"/>
      <c r="E108" s="14" t="n"/>
      <c r="F108" s="14" t="n"/>
      <c r="G108" s="2" t="n"/>
      <c r="H108" s="9" t="n"/>
      <c r="I108" s="4" t="n"/>
      <c r="J108" s="4" t="n"/>
    </row>
    <row r="109">
      <c r="B109" s="6" t="n"/>
      <c r="D109" s="2" t="n"/>
      <c r="E109" s="14" t="n"/>
      <c r="F109" s="14" t="n"/>
      <c r="G109" s="2" t="n"/>
      <c r="H109" s="9" t="n"/>
      <c r="I109" s="4" t="n"/>
      <c r="J109" s="4" t="n"/>
    </row>
    <row r="110">
      <c r="B110" s="6" t="n"/>
      <c r="D110" s="2" t="n"/>
      <c r="E110" s="14" t="n"/>
      <c r="F110" s="14" t="n"/>
      <c r="G110" s="2" t="n"/>
      <c r="H110" s="9" t="n"/>
      <c r="I110" s="4" t="n"/>
      <c r="J110" s="4" t="n"/>
    </row>
    <row r="111">
      <c r="B111" s="6" t="n"/>
      <c r="D111" s="2" t="n"/>
      <c r="E111" s="14" t="n"/>
      <c r="F111" s="14" t="n"/>
      <c r="G111" s="2" t="n"/>
      <c r="H111" s="9" t="n"/>
      <c r="I111" s="4" t="n"/>
      <c r="J111" s="4" t="n"/>
    </row>
    <row r="112">
      <c r="B112" s="6" t="n"/>
      <c r="D112" s="2" t="n"/>
      <c r="E112" s="14" t="n"/>
      <c r="F112" s="14" t="n"/>
      <c r="G112" s="2" t="n"/>
      <c r="H112" s="9" t="n"/>
      <c r="I112" s="4" t="n"/>
      <c r="J112" s="4" t="n"/>
    </row>
    <row r="113">
      <c r="B113" s="6" t="n"/>
      <c r="D113" s="2" t="n"/>
      <c r="E113" s="14" t="n"/>
      <c r="F113" s="14" t="n"/>
      <c r="G113" s="2" t="n"/>
      <c r="H113" s="9" t="n"/>
      <c r="I113" s="4" t="n"/>
      <c r="J113" s="4" t="n"/>
    </row>
    <row r="114">
      <c r="B114" s="6" t="n"/>
      <c r="D114" s="2" t="n"/>
      <c r="E114" s="14" t="n"/>
      <c r="F114" s="14" t="n"/>
      <c r="G114" s="2" t="n"/>
      <c r="H114" s="9" t="n"/>
      <c r="I114" s="4" t="n"/>
      <c r="J114" s="4" t="n"/>
    </row>
    <row r="115">
      <c r="B115" s="6" t="n"/>
      <c r="D115" s="2" t="n"/>
      <c r="E115" s="14" t="n"/>
      <c r="F115" s="14" t="n"/>
      <c r="G115" s="2" t="n"/>
      <c r="H115" s="9" t="n"/>
      <c r="I115" s="4" t="n"/>
      <c r="J115" s="4" t="n"/>
    </row>
    <row r="116">
      <c r="B116" s="6" t="n"/>
      <c r="D116" s="2" t="n"/>
      <c r="E116" s="14" t="n"/>
      <c r="F116" s="14" t="n"/>
      <c r="G116" s="2" t="n"/>
      <c r="H116" s="9" t="n"/>
      <c r="I116" s="4" t="n"/>
      <c r="J116" s="4" t="n"/>
    </row>
    <row r="117">
      <c r="B117" s="6" t="n"/>
      <c r="D117" s="2" t="n"/>
      <c r="E117" s="14" t="n"/>
      <c r="F117" s="14" t="n"/>
      <c r="G117" s="2" t="n"/>
      <c r="H117" s="9" t="n"/>
      <c r="I117" s="4" t="n"/>
      <c r="J117" s="4" t="n"/>
    </row>
    <row r="118">
      <c r="B118" s="6" t="n"/>
      <c r="D118" s="2" t="n"/>
      <c r="E118" s="14" t="n"/>
      <c r="F118" s="14" t="n"/>
      <c r="G118" s="2" t="n"/>
      <c r="H118" s="9" t="n"/>
      <c r="I118" s="4" t="n"/>
      <c r="J118" s="4" t="n"/>
    </row>
    <row r="119">
      <c r="B119" s="6" t="n"/>
      <c r="D119" s="2" t="n"/>
      <c r="E119" s="14" t="n"/>
      <c r="F119" s="14" t="n"/>
      <c r="G119" s="2" t="n"/>
      <c r="H119" s="9" t="n"/>
      <c r="I119" s="4" t="n"/>
      <c r="J119" s="4" t="n"/>
    </row>
    <row r="120">
      <c r="B120" s="6" t="n"/>
      <c r="D120" s="2" t="n"/>
      <c r="E120" s="14" t="n"/>
      <c r="F120" s="14" t="n"/>
      <c r="G120" s="2" t="n"/>
      <c r="H120" s="9" t="n"/>
      <c r="I120" s="4" t="n"/>
      <c r="J120" s="4" t="n"/>
    </row>
    <row r="121">
      <c r="B121" s="6" t="n"/>
      <c r="D121" s="2" t="n"/>
      <c r="E121" s="14" t="n"/>
      <c r="F121" s="14" t="n"/>
      <c r="G121" s="2" t="n"/>
      <c r="H121" s="9" t="n"/>
      <c r="I121" s="4" t="n"/>
      <c r="J121" s="4" t="n"/>
    </row>
    <row r="122">
      <c r="B122" s="6" t="n"/>
      <c r="D122" s="2" t="n"/>
      <c r="E122" s="14" t="n"/>
      <c r="F122" s="14" t="n"/>
      <c r="G122" s="2" t="n"/>
      <c r="H122" s="9" t="n"/>
      <c r="I122" s="4" t="n"/>
      <c r="J122" s="4" t="n"/>
    </row>
  </sheetData>
  <autoFilter ref="A1:K12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Veer Parmar | Atliis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2026-10-26T12:46:46Z</dcterms:modified>
  <cp:lastModifiedBy>Veer Parmar | Atliis</cp:lastModifiedBy>
</cp:coreProperties>
</file>